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shufan_wu_intel_com/Documents/Documents/"/>
    </mc:Choice>
  </mc:AlternateContent>
  <xr:revisionPtr revIDLastSave="0" documentId="8_{45951190-9F2D-4D5F-8660-39C5857176B0}" xr6:coauthVersionLast="47" xr6:coauthVersionMax="47" xr10:uidLastSave="{00000000-0000-0000-0000-000000000000}"/>
  <bookViews>
    <workbookView xWindow="-110" yWindow="-110" windowWidth="19420" windowHeight="11500" firstSheet="7" activeTab="7" xr2:uid="{53C5A3BB-CB10-2B4D-861E-252E44EDA6B2}"/>
  </bookViews>
  <sheets>
    <sheet name="ww15vs ww14 comparison" sheetId="15" r:id="rId1"/>
    <sheet name="ww13" sheetId="1" r:id="rId2"/>
    <sheet name="ww14" sheetId="2" r:id="rId3"/>
    <sheet name="ww14 (re-run)" sheetId="6" r:id="rId4"/>
    <sheet name="ww14 (new)" sheetId="5" r:id="rId5"/>
    <sheet name="ww14 (sglang calibrated)" sheetId="9" r:id="rId6"/>
    <sheet name="ww15 (vllm 0.19.0)" sheetId="11" r:id="rId7"/>
    <sheet name="ww20 (vllm 0.20.0)" sheetId="18" r:id="rId8"/>
    <sheet name="vllm vs sglang" sheetId="4" r:id="rId9"/>
    <sheet name="vllm 0.19.1" sheetId="17" r:id="rId10"/>
    <sheet name="Sheet4" sheetId="8" r:id="rId11"/>
    <sheet name="acc enabling" sheetId="16" r:id="rId12"/>
  </sheets>
  <definedNames>
    <definedName name="_xlnm._FilterDatabase" localSheetId="8" hidden="1">'vllm vs sglang'!$A$1:$AB$59</definedName>
    <definedName name="_xlnm._FilterDatabase" localSheetId="1" hidden="1">'ww13'!$C$4:$L$4</definedName>
    <definedName name="_xlnm._FilterDatabase" localSheetId="2" hidden="1">'ww14'!$C$4:$L$4</definedName>
    <definedName name="_xlnm._FilterDatabase" localSheetId="4" hidden="1">'ww14 (new)'!$C$4:$L$47</definedName>
    <definedName name="_xlnm._FilterDatabase" localSheetId="3" hidden="1">'ww14 (re-run)'!$A$1:$AH$60</definedName>
    <definedName name="_xlnm._FilterDatabase" localSheetId="5" hidden="1">'ww14 (sglang calibrated)'!$C$4:$L$47</definedName>
    <definedName name="_xlnm._FilterDatabase" localSheetId="6" hidden="1">'ww15 (vllm 0.19.0)'!$C$4:$K$47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8" l="1"/>
  <c r="S8" i="18"/>
  <c r="R9" i="18"/>
  <c r="S9" i="18"/>
  <c r="R10" i="18"/>
  <c r="S10" i="18"/>
  <c r="R11" i="18"/>
  <c r="S11" i="18"/>
  <c r="R12" i="18"/>
  <c r="S12" i="18"/>
  <c r="R13" i="18"/>
  <c r="S13" i="18"/>
  <c r="R14" i="18"/>
  <c r="S14" i="18"/>
  <c r="R15" i="18"/>
  <c r="S15" i="18"/>
  <c r="R16" i="18"/>
  <c r="S16" i="18"/>
  <c r="R17" i="18"/>
  <c r="S17" i="18"/>
  <c r="R18" i="18"/>
  <c r="S18" i="18"/>
  <c r="R19" i="18"/>
  <c r="S19" i="18"/>
  <c r="R20" i="18"/>
  <c r="S20" i="18"/>
  <c r="R21" i="18"/>
  <c r="S21" i="18"/>
  <c r="R22" i="18"/>
  <c r="S22" i="18"/>
  <c r="R23" i="18"/>
  <c r="S23" i="18"/>
  <c r="R24" i="18"/>
  <c r="S24" i="18"/>
  <c r="R25" i="18"/>
  <c r="S25" i="18"/>
  <c r="R26" i="18"/>
  <c r="S26" i="18"/>
  <c r="R27" i="18"/>
  <c r="S27" i="18"/>
  <c r="R28" i="18"/>
  <c r="S28" i="18"/>
  <c r="R29" i="18"/>
  <c r="S29" i="18"/>
  <c r="R30" i="18"/>
  <c r="S30" i="18"/>
  <c r="R31" i="18"/>
  <c r="S31" i="18"/>
  <c r="R32" i="18"/>
  <c r="S32" i="18"/>
  <c r="R33" i="18"/>
  <c r="S33" i="18"/>
  <c r="R34" i="18"/>
  <c r="S34" i="18"/>
  <c r="R35" i="18"/>
  <c r="S35" i="18"/>
  <c r="R36" i="18"/>
  <c r="S36" i="18"/>
  <c r="R37" i="18"/>
  <c r="S37" i="18"/>
  <c r="R38" i="18"/>
  <c r="S38" i="18"/>
  <c r="R39" i="18"/>
  <c r="S39" i="18"/>
  <c r="R40" i="18"/>
  <c r="S40" i="18"/>
  <c r="R41" i="18"/>
  <c r="S41" i="18"/>
  <c r="R42" i="18"/>
  <c r="S42" i="18"/>
  <c r="R43" i="18"/>
  <c r="S43" i="18"/>
  <c r="R44" i="18"/>
  <c r="S44" i="18"/>
  <c r="R45" i="18"/>
  <c r="S45" i="18"/>
  <c r="R46" i="18"/>
  <c r="S46" i="18"/>
  <c r="R47" i="18"/>
  <c r="S47" i="18"/>
  <c r="R48" i="18"/>
  <c r="S48" i="18"/>
  <c r="Q10" i="4"/>
  <c r="Q7" i="4"/>
  <c r="S41" i="17"/>
  <c r="S42" i="17"/>
  <c r="S43" i="17"/>
  <c r="S44" i="17"/>
  <c r="S45" i="17"/>
  <c r="S40" i="17"/>
  <c r="S51" i="17" s="1"/>
  <c r="S35" i="17"/>
  <c r="S36" i="17"/>
  <c r="S37" i="17"/>
  <c r="S38" i="17"/>
  <c r="S34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8" i="17"/>
  <c r="R51" i="17"/>
  <c r="R50" i="17"/>
  <c r="R49" i="17"/>
  <c r="S50" i="17" l="1"/>
  <c r="S49" i="17"/>
  <c r="W45" i="15" l="1" a="1"/>
  <c r="W45" i="15" s="1"/>
  <c r="D43" i="11" l="1" a="1"/>
  <c r="D43" i="11"/>
  <c r="D42" i="11" a="1"/>
  <c r="D42" i="11" s="1"/>
  <c r="D41" i="11" a="1"/>
  <c r="D41" i="11" s="1"/>
  <c r="F41" i="11" s="1"/>
  <c r="D40" i="11" a="1"/>
  <c r="D40" i="11" s="1"/>
  <c r="F40" i="11" s="1"/>
  <c r="D39" i="11" a="1"/>
  <c r="D39" i="11" s="1"/>
  <c r="F39" i="11" s="1"/>
  <c r="D37" i="11" a="1"/>
  <c r="D37" i="11" s="1"/>
  <c r="D36" i="11" a="1"/>
  <c r="D36" i="11" s="1"/>
  <c r="D35" i="11" a="1"/>
  <c r="D35" i="11"/>
  <c r="F35" i="11" s="1"/>
  <c r="D34" i="11" a="1"/>
  <c r="D34" i="11"/>
  <c r="F34" i="11" s="1"/>
  <c r="D33" i="11" a="1"/>
  <c r="D33" i="11" s="1"/>
  <c r="F33" i="11" s="1"/>
  <c r="D28" i="11" a="1"/>
  <c r="D28" i="11" s="1"/>
  <c r="F28" i="11" s="1"/>
  <c r="D23" i="11" a="1"/>
  <c r="D23" i="11"/>
  <c r="F23" i="11" s="1"/>
  <c r="D22" i="11" a="1"/>
  <c r="D22" i="11" s="1"/>
  <c r="F22" i="11" s="1"/>
  <c r="D21" i="11" a="1"/>
  <c r="D21" i="11" s="1"/>
  <c r="F21" i="11" s="1"/>
  <c r="D17" i="11" a="1"/>
  <c r="D17" i="11" s="1"/>
  <c r="F17" i="11" s="1"/>
  <c r="D14" i="11" a="1"/>
  <c r="D14" i="11" s="1"/>
  <c r="F14" i="11" s="1"/>
  <c r="D10" i="11" a="1"/>
  <c r="D10" i="11"/>
  <c r="D9" i="11" a="1"/>
  <c r="D9" i="11"/>
  <c r="F9" i="11" s="1"/>
  <c r="D8" i="11" a="1"/>
  <c r="D8" i="11"/>
  <c r="F8" i="11" s="1"/>
  <c r="D7" i="11" a="1"/>
  <c r="D7" i="11" s="1"/>
  <c r="F7" i="11" s="1"/>
  <c r="D6" i="11" a="1"/>
  <c r="D6" i="11" s="1"/>
  <c r="F6" i="11" s="1"/>
  <c r="U6" i="11"/>
  <c r="AA6" i="11"/>
  <c r="U7" i="11"/>
  <c r="AA7" i="11"/>
  <c r="U8" i="11"/>
  <c r="AA8" i="11"/>
  <c r="U9" i="11"/>
  <c r="AA9" i="11"/>
  <c r="U10" i="11"/>
  <c r="AA10" i="11"/>
  <c r="U11" i="11"/>
  <c r="AA11" i="11"/>
  <c r="U12" i="11"/>
  <c r="AA12" i="11"/>
  <c r="U13" i="11"/>
  <c r="AA13" i="11"/>
  <c r="U14" i="11"/>
  <c r="AA14" i="11"/>
  <c r="F15" i="11"/>
  <c r="U15" i="11"/>
  <c r="AA15" i="11"/>
  <c r="U16" i="11"/>
  <c r="AA16" i="11"/>
  <c r="U17" i="11"/>
  <c r="AA17" i="11"/>
  <c r="U18" i="11"/>
  <c r="AA18" i="11"/>
  <c r="F19" i="11"/>
  <c r="U19" i="11"/>
  <c r="AA19" i="11"/>
  <c r="U20" i="11"/>
  <c r="AA20" i="11"/>
  <c r="U21" i="11"/>
  <c r="AA21" i="11"/>
  <c r="U22" i="11"/>
  <c r="AA22" i="11"/>
  <c r="U23" i="11"/>
  <c r="AA23" i="11"/>
  <c r="U24" i="11"/>
  <c r="AA24" i="11"/>
  <c r="U25" i="11"/>
  <c r="AA25" i="11"/>
  <c r="U26" i="11"/>
  <c r="AA26" i="11"/>
  <c r="U27" i="11"/>
  <c r="AA27" i="11"/>
  <c r="U28" i="11"/>
  <c r="AA28" i="11"/>
  <c r="U29" i="11"/>
  <c r="AA29" i="11"/>
  <c r="U30" i="11"/>
  <c r="AA30" i="11"/>
  <c r="U32" i="11"/>
  <c r="U33" i="11"/>
  <c r="AA33" i="11"/>
  <c r="U34" i="11"/>
  <c r="AA34" i="11"/>
  <c r="U35" i="11"/>
  <c r="AA35" i="11"/>
  <c r="U36" i="11"/>
  <c r="AA36" i="11"/>
  <c r="U37" i="11"/>
  <c r="AA37" i="11"/>
  <c r="U39" i="11"/>
  <c r="AA39" i="11"/>
  <c r="U40" i="11"/>
  <c r="AA40" i="11"/>
  <c r="U41" i="11"/>
  <c r="AA41" i="11"/>
  <c r="U42" i="11"/>
  <c r="AA42" i="11"/>
  <c r="F43" i="11"/>
  <c r="U43" i="11"/>
  <c r="AA43" i="11"/>
  <c r="F44" i="11"/>
  <c r="U44" i="11"/>
  <c r="AA44" i="11"/>
  <c r="AB51" i="9" a="1"/>
  <c r="AB51" i="9" s="1"/>
  <c r="E43" i="9" a="1"/>
  <c r="E43" i="9"/>
  <c r="E42" i="9" a="1"/>
  <c r="E42" i="9"/>
  <c r="E41" i="9" a="1"/>
  <c r="E41" i="9" s="1"/>
  <c r="G41" i="9" s="1"/>
  <c r="E40" i="9" a="1"/>
  <c r="E40" i="9"/>
  <c r="G40" i="9" s="1"/>
  <c r="E39" i="9" a="1"/>
  <c r="E39" i="9"/>
  <c r="E37" i="9" a="1"/>
  <c r="E37" i="9" s="1"/>
  <c r="E36" i="9" a="1"/>
  <c r="E36" i="9" s="1"/>
  <c r="E35" i="9" a="1"/>
  <c r="E35" i="9"/>
  <c r="E34" i="9" a="1"/>
  <c r="E34" i="9"/>
  <c r="G34" i="9" s="1"/>
  <c r="E33" i="9" a="1"/>
  <c r="E33" i="9"/>
  <c r="E28" i="9" a="1"/>
  <c r="E28" i="9"/>
  <c r="G28" i="9" s="1"/>
  <c r="E23" i="9" a="1"/>
  <c r="E23" i="9"/>
  <c r="E22" i="9" a="1"/>
  <c r="E22" i="9"/>
  <c r="G22" i="9" s="1"/>
  <c r="E21" i="9" a="1"/>
  <c r="E21" i="9" s="1"/>
  <c r="G21" i="9" s="1"/>
  <c r="E17" i="9" a="1"/>
  <c r="E17" i="9" s="1"/>
  <c r="G17" i="9" s="1"/>
  <c r="E14" i="9" a="1"/>
  <c r="E14" i="9" s="1"/>
  <c r="G14" i="9" s="1"/>
  <c r="E10" i="9" a="1"/>
  <c r="E10" i="9"/>
  <c r="E9" i="9" a="1"/>
  <c r="E9" i="9"/>
  <c r="G9" i="9" s="1"/>
  <c r="E8" i="9" a="1"/>
  <c r="E8" i="9"/>
  <c r="G8" i="9" s="1"/>
  <c r="E7" i="9" a="1"/>
  <c r="E7" i="9"/>
  <c r="G7" i="9" s="1"/>
  <c r="E6" i="9" a="1"/>
  <c r="E6" i="9"/>
  <c r="G6" i="9"/>
  <c r="V6" i="9"/>
  <c r="AB6" i="9"/>
  <c r="AB49" i="9" s="1" a="1"/>
  <c r="AB49" i="9" s="1"/>
  <c r="V7" i="9"/>
  <c r="AB7" i="9"/>
  <c r="V8" i="9"/>
  <c r="AB8" i="9"/>
  <c r="V9" i="9"/>
  <c r="AB9" i="9"/>
  <c r="V10" i="9"/>
  <c r="AB10" i="9"/>
  <c r="V11" i="9"/>
  <c r="AB11" i="9"/>
  <c r="V12" i="9"/>
  <c r="AB12" i="9"/>
  <c r="V13" i="9"/>
  <c r="AB13" i="9"/>
  <c r="V14" i="9"/>
  <c r="AB14" i="9"/>
  <c r="G15" i="9"/>
  <c r="V15" i="9"/>
  <c r="AB15" i="9"/>
  <c r="V16" i="9"/>
  <c r="AB16" i="9"/>
  <c r="V17" i="9"/>
  <c r="AB17" i="9"/>
  <c r="V18" i="9"/>
  <c r="AB18" i="9"/>
  <c r="G19" i="9"/>
  <c r="V19" i="9"/>
  <c r="AB19" i="9"/>
  <c r="V20" i="9"/>
  <c r="AB20" i="9"/>
  <c r="V21" i="9"/>
  <c r="AB21" i="9"/>
  <c r="V22" i="9"/>
  <c r="AB22" i="9"/>
  <c r="G23" i="9"/>
  <c r="V23" i="9"/>
  <c r="AB23" i="9"/>
  <c r="V24" i="9"/>
  <c r="AB24" i="9"/>
  <c r="V25" i="9"/>
  <c r="AB25" i="9"/>
  <c r="V26" i="9"/>
  <c r="AB26" i="9"/>
  <c r="V27" i="9"/>
  <c r="AB27" i="9"/>
  <c r="V28" i="9"/>
  <c r="AB28" i="9"/>
  <c r="V29" i="9"/>
  <c r="AB29" i="9"/>
  <c r="V30" i="9"/>
  <c r="AB30" i="9"/>
  <c r="V32" i="9"/>
  <c r="G33" i="9"/>
  <c r="V33" i="9"/>
  <c r="AB33" i="9"/>
  <c r="V34" i="9"/>
  <c r="AB34" i="9"/>
  <c r="G35" i="9"/>
  <c r="V35" i="9"/>
  <c r="AB35" i="9"/>
  <c r="V36" i="9"/>
  <c r="AB36" i="9"/>
  <c r="V37" i="9"/>
  <c r="AB37" i="9"/>
  <c r="G39" i="9"/>
  <c r="V39" i="9"/>
  <c r="AB39" i="9"/>
  <c r="V40" i="9"/>
  <c r="AB40" i="9"/>
  <c r="V41" i="9"/>
  <c r="AB41" i="9"/>
  <c r="V42" i="9"/>
  <c r="AB42" i="9"/>
  <c r="V43" i="9"/>
  <c r="AB43" i="9"/>
  <c r="G44" i="9"/>
  <c r="V44" i="9"/>
  <c r="AB44" i="9"/>
  <c r="AB50" i="9" l="1" a="1"/>
  <c r="AB50" i="9" s="1"/>
  <c r="AA50" i="11" a="1"/>
  <c r="AA50" i="11" s="1"/>
  <c r="AA49" i="11" a="1"/>
  <c r="AA49" i="11" s="1"/>
  <c r="AA51" i="11" a="1"/>
  <c r="AA51" i="11" s="1"/>
  <c r="E23" i="5" l="1" a="1"/>
  <c r="E23" i="5" s="1"/>
  <c r="AH6" i="6"/>
  <c r="AH8" i="6"/>
  <c r="AB6" i="6"/>
  <c r="AH7" i="6" l="1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Q33" i="4"/>
  <c r="Q8" i="4"/>
  <c r="Q9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" i="4"/>
  <c r="V42" i="4"/>
  <c r="V43" i="4"/>
  <c r="V44" i="4"/>
  <c r="V45" i="4"/>
  <c r="V50" i="4"/>
  <c r="V52" i="4"/>
  <c r="V53" i="4"/>
  <c r="V54" i="4"/>
  <c r="V55" i="4"/>
  <c r="V56" i="4"/>
  <c r="V59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6" i="4"/>
  <c r="V27" i="4"/>
  <c r="V28" i="4"/>
  <c r="V29" i="4"/>
  <c r="V30" i="4"/>
  <c r="V31" i="4"/>
  <c r="V32" i="4"/>
  <c r="V33" i="4"/>
  <c r="AB12" i="6" l="1"/>
  <c r="AB6" i="5"/>
  <c r="G44" i="5" l="1"/>
  <c r="G19" i="5"/>
  <c r="G15" i="5"/>
  <c r="G23" i="5"/>
  <c r="E22" i="5" a="1"/>
  <c r="E22" i="5" s="1"/>
  <c r="G22" i="5" s="1"/>
  <c r="E21" i="5" a="1"/>
  <c r="E21" i="5" s="1"/>
  <c r="G21" i="5" s="1"/>
  <c r="E17" i="5" a="1"/>
  <c r="E17" i="5" s="1"/>
  <c r="G17" i="5" s="1"/>
  <c r="E14" i="5" a="1"/>
  <c r="E14" i="5" s="1"/>
  <c r="G14" i="5" s="1"/>
  <c r="V12" i="6"/>
  <c r="E43" i="5" a="1"/>
  <c r="E43" i="5" s="1"/>
  <c r="G43" i="5" s="1"/>
  <c r="E42" i="5" a="1"/>
  <c r="E42" i="5" s="1"/>
  <c r="G42" i="5" s="1"/>
  <c r="E41" i="5" a="1"/>
  <c r="E41" i="5" s="1"/>
  <c r="G41" i="5" s="1"/>
  <c r="E40" i="5" a="1"/>
  <c r="E40" i="5" s="1"/>
  <c r="G40" i="5" s="1"/>
  <c r="E39" i="5" a="1"/>
  <c r="E39" i="5" s="1"/>
  <c r="G39" i="5" s="1"/>
  <c r="E37" i="5" a="1"/>
  <c r="E37" i="5" s="1"/>
  <c r="G37" i="5" s="1"/>
  <c r="E36" i="5" a="1"/>
  <c r="E36" i="5" s="1"/>
  <c r="G36" i="5" s="1"/>
  <c r="E35" i="5" a="1"/>
  <c r="E35" i="5" s="1"/>
  <c r="G35" i="5" s="1"/>
  <c r="E34" i="5" a="1"/>
  <c r="E34" i="5" s="1"/>
  <c r="G34" i="5" s="1"/>
  <c r="E33" i="5" a="1"/>
  <c r="E33" i="5" s="1"/>
  <c r="G33" i="5" s="1"/>
  <c r="E28" i="5" a="1"/>
  <c r="E28" i="5" s="1"/>
  <c r="G28" i="5" s="1"/>
  <c r="E10" i="5" a="1"/>
  <c r="E10" i="5" s="1"/>
  <c r="G10" i="5" s="1"/>
  <c r="E9" i="5" a="1"/>
  <c r="E9" i="5" s="1"/>
  <c r="G9" i="5" s="1"/>
  <c r="E8" i="5" a="1"/>
  <c r="E8" i="5" s="1"/>
  <c r="G8" i="5" s="1"/>
  <c r="E7" i="5" a="1"/>
  <c r="E7" i="5" s="1"/>
  <c r="G7" i="5" s="1"/>
  <c r="E6" i="5" a="1"/>
  <c r="E6" i="5" s="1"/>
  <c r="G6" i="5" s="1"/>
  <c r="V6" i="6"/>
  <c r="V7" i="6"/>
  <c r="AB7" i="6"/>
  <c r="V8" i="6"/>
  <c r="AB8" i="6"/>
  <c r="V9" i="6"/>
  <c r="AB9" i="6"/>
  <c r="V10" i="6"/>
  <c r="AB10" i="6"/>
  <c r="V11" i="6"/>
  <c r="AB11" i="6"/>
  <c r="V13" i="6"/>
  <c r="AB13" i="6"/>
  <c r="V14" i="6"/>
  <c r="AB14" i="6"/>
  <c r="V15" i="6"/>
  <c r="AB15" i="6"/>
  <c r="V16" i="6"/>
  <c r="AB16" i="6"/>
  <c r="V17" i="6"/>
  <c r="AB17" i="6"/>
  <c r="V18" i="6"/>
  <c r="AB18" i="6"/>
  <c r="V19" i="6"/>
  <c r="AB19" i="6"/>
  <c r="V20" i="6"/>
  <c r="AB20" i="6"/>
  <c r="V21" i="6"/>
  <c r="AB21" i="6"/>
  <c r="V22" i="6"/>
  <c r="AB22" i="6"/>
  <c r="V23" i="6"/>
  <c r="AB23" i="6"/>
  <c r="V26" i="6"/>
  <c r="AB26" i="6"/>
  <c r="V27" i="6"/>
  <c r="AB27" i="6"/>
  <c r="V28" i="6"/>
  <c r="AB28" i="6"/>
  <c r="V29" i="6"/>
  <c r="AB29" i="6"/>
  <c r="V30" i="6"/>
  <c r="AB30" i="6"/>
  <c r="V31" i="6"/>
  <c r="AB31" i="6"/>
  <c r="V32" i="6"/>
  <c r="AB32" i="6"/>
  <c r="V33" i="6"/>
  <c r="AB35" i="6"/>
  <c r="AB36" i="6"/>
  <c r="AB37" i="6"/>
  <c r="AB38" i="6"/>
  <c r="AB39" i="6"/>
  <c r="AB40" i="6"/>
  <c r="AB41" i="6"/>
  <c r="AB42" i="6"/>
  <c r="V43" i="6"/>
  <c r="AB43" i="6"/>
  <c r="V44" i="6"/>
  <c r="AB44" i="6"/>
  <c r="V45" i="6"/>
  <c r="AB45" i="6"/>
  <c r="V46" i="6"/>
  <c r="AB46" i="6"/>
  <c r="V51" i="6"/>
  <c r="AB51" i="6"/>
  <c r="V53" i="6"/>
  <c r="AB53" i="6"/>
  <c r="V54" i="6"/>
  <c r="AB54" i="6"/>
  <c r="V55" i="6"/>
  <c r="AB55" i="6"/>
  <c r="V56" i="6"/>
  <c r="AB56" i="6"/>
  <c r="V57" i="6"/>
  <c r="AB57" i="6"/>
  <c r="V60" i="6"/>
  <c r="AB60" i="6"/>
  <c r="V6" i="5"/>
  <c r="V7" i="5"/>
  <c r="AB7" i="5"/>
  <c r="V8" i="5"/>
  <c r="AB8" i="5"/>
  <c r="V9" i="5"/>
  <c r="AB9" i="5"/>
  <c r="V10" i="5"/>
  <c r="AB10" i="5"/>
  <c r="V11" i="5"/>
  <c r="AB11" i="5"/>
  <c r="V12" i="5"/>
  <c r="AB12" i="5"/>
  <c r="V13" i="5"/>
  <c r="AB13" i="5"/>
  <c r="V14" i="5"/>
  <c r="AB14" i="5"/>
  <c r="V15" i="5"/>
  <c r="AB15" i="5"/>
  <c r="V16" i="5"/>
  <c r="AB16" i="5"/>
  <c r="V17" i="5"/>
  <c r="AB17" i="5"/>
  <c r="V18" i="5"/>
  <c r="AB18" i="5"/>
  <c r="V19" i="5"/>
  <c r="AB19" i="5"/>
  <c r="V20" i="5"/>
  <c r="AB20" i="5"/>
  <c r="V21" i="5"/>
  <c r="AB21" i="5"/>
  <c r="V22" i="5"/>
  <c r="AB22" i="5"/>
  <c r="V23" i="5"/>
  <c r="AB23" i="5"/>
  <c r="V24" i="5"/>
  <c r="AB24" i="5"/>
  <c r="V25" i="5"/>
  <c r="AB25" i="5"/>
  <c r="V26" i="5"/>
  <c r="AB26" i="5"/>
  <c r="V27" i="5"/>
  <c r="AB27" i="5"/>
  <c r="V28" i="5"/>
  <c r="AB28" i="5"/>
  <c r="V29" i="5"/>
  <c r="AB29" i="5"/>
  <c r="V30" i="5"/>
  <c r="AB30" i="5"/>
  <c r="V32" i="5"/>
  <c r="V33" i="5"/>
  <c r="AB33" i="5"/>
  <c r="V34" i="5"/>
  <c r="AB34" i="5"/>
  <c r="V35" i="5"/>
  <c r="AB35" i="5"/>
  <c r="V36" i="5"/>
  <c r="AB36" i="5"/>
  <c r="V37" i="5"/>
  <c r="AB37" i="5"/>
  <c r="V39" i="5"/>
  <c r="AB39" i="5"/>
  <c r="AB51" i="5" s="1" a="1"/>
  <c r="AB51" i="5" s="1"/>
  <c r="V40" i="5"/>
  <c r="AB40" i="5"/>
  <c r="V41" i="5"/>
  <c r="AB41" i="5"/>
  <c r="V42" i="5"/>
  <c r="AB42" i="5"/>
  <c r="V43" i="5"/>
  <c r="AB43" i="5"/>
  <c r="V44" i="5"/>
  <c r="AB44" i="5"/>
  <c r="AB5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6" i="2"/>
  <c r="AB27" i="2"/>
  <c r="AB28" i="2"/>
  <c r="AB29" i="2"/>
  <c r="AB30" i="2"/>
  <c r="AB31" i="2"/>
  <c r="AB32" i="2"/>
  <c r="AB35" i="2"/>
  <c r="AB36" i="2"/>
  <c r="AB37" i="2"/>
  <c r="AB38" i="2"/>
  <c r="AB39" i="2"/>
  <c r="AB40" i="2"/>
  <c r="AB41" i="2"/>
  <c r="AB42" i="2"/>
  <c r="AB44" i="2"/>
  <c r="AB45" i="2"/>
  <c r="AB46" i="2"/>
  <c r="AB47" i="2"/>
  <c r="AB52" i="2"/>
  <c r="AB55" i="2"/>
  <c r="AB57" i="2"/>
  <c r="AB58" i="2"/>
  <c r="AB59" i="2"/>
  <c r="AB62" i="2"/>
  <c r="AB6" i="2"/>
  <c r="AB50" i="5" l="1" a="1"/>
  <c r="AB50" i="5" s="1"/>
  <c r="AB49" i="5" a="1"/>
  <c r="AB49" i="5" s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" i="2"/>
  <c r="W46" i="15" a="1"/>
  <c r="W46" i="15" s="1"/>
  <c r="W47" i="15" a="1"/>
  <c r="W47" i="15" s="1"/>
  <c r="X46" i="15" a="1"/>
  <c r="X46" i="15" s="1"/>
  <c r="X45" i="15" a="1"/>
  <c r="X45" i="15" s="1"/>
  <c r="X47" i="15" a="1"/>
  <c r="X4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tc={BFA4DF22-B110-42E5-AB5F-F7B015A7A93B}</author>
  </authors>
  <commentList>
    <comment ref="I33" authorId="0" shapeId="0" xr:uid="{BFA4DF22-B110-42E5-AB5F-F7B015A7A93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tc={08F2E008-FF21-4CB4-AAA6-2DC587B038FF}</author>
    <author>tc={7FA4D1D8-D304-4BF0-B844-F3EA687C2AFD}</author>
  </authors>
  <commentList>
    <comment ref="I33" authorId="0" shapeId="0" xr:uid="{08F2E008-FF21-4CB4-AAA6-2DC587B038F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  <comment ref="S33" authorId="1" shapeId="0" xr:uid="{7FA4D1D8-D304-4BF0-B844-F3EA687C2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tc={EC047507-D0AF-4B25-A9ED-E9CBA6358A7E}</author>
  </authors>
  <commentList>
    <comment ref="S33" authorId="0" shapeId="0" xr:uid="{EC047507-D0AF-4B25-A9ED-E9CBA6358A7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tc={B0D4F1D5-9D48-449F-84A1-4FE42038A989}</author>
  </authors>
  <commentList>
    <comment ref="S32" authorId="0" shapeId="0" xr:uid="{B0D4F1D5-9D48-449F-84A1-4FE42038A98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tc={9A028CAC-0845-4997-A0FF-5A11D0C5944A}</author>
  </authors>
  <commentList>
    <comment ref="S32" authorId="0" shapeId="0" xr:uid="{9A028CAC-0845-4997-A0FF-5A11D0C5944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tc={D141877D-006E-48C3-82A0-1D30FBDC6F24}</author>
  </authors>
  <commentList>
    <comment ref="R32" authorId="0" shapeId="0" xr:uid="{D141877D-006E-48C3-82A0-1D30FBDC6F24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tc={4537C23A-3722-4E99-A635-7D01C656E7FF}</author>
  </authors>
  <commentList>
    <comment ref="S33" authorId="0" shapeId="0" xr:uid="{4537C23A-3722-4E99-A635-7D01C656E7F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fix a bug of vllm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<sst xmlns="http://schemas.openxmlformats.org/spreadsheetml/2006/main" count="4595" uniqueCount="441">
  <si>
    <t>Model Info</t>
  </si>
  <si>
    <t>WW15 vLLM 0.19.0</t>
  </si>
  <si>
    <t>WW14 vLLM (reference)</t>
  </si>
  <si>
    <t>WW10 SGLang (reference)</t>
  </si>
  <si>
    <t>Throughput Comparison
(ww15_vllm / wwXX * 100%)</t>
  </si>
  <si>
    <t>Reference</t>
  </si>
  <si>
    <t>Model</t>
  </si>
  <si>
    <t>Run Note</t>
  </si>
  <si>
    <t>weight</t>
  </si>
  <si>
    <t>Precision</t>
  </si>
  <si>
    <t>TP/PP/DP</t>
  </si>
  <si>
    <t>Concurrency</t>
  </si>
  <si>
    <t>TTFT (s)</t>
  </si>
  <si>
    <t>TPOT (ms)</t>
  </si>
  <si>
    <t>Output Throughput
(tok/s)</t>
  </si>
  <si>
    <t>SLA Pass
(TTFT&lt;5s,TPOT&lt;100ms)</t>
  </si>
  <si>
    <t>vs WW14 vLLM
(%)</t>
  </si>
  <si>
    <t>vs WW10 SGLang
(%)</t>
  </si>
  <si>
    <t>WW11 Job Link</t>
  </si>
  <si>
    <t>Comment</t>
  </si>
  <si>
    <t>vs WW10 vLLM
(%)</t>
  </si>
  <si>
    <t>Rerun Job Link</t>
  </si>
  <si>
    <t>meta-llama/Llama-3.1-8B-Instruct</t>
  </si>
  <si>
    <t>N/A</t>
  </si>
  <si>
    <t>BF16</t>
  </si>
  <si>
    <t>DP6</t>
  </si>
  <si>
    <t>PASS</t>
  </si>
  <si>
    <t>https://inteltf-jenk.sh.intel.com/job/ipex_pytorch_cpu_vllm_benchmark_router-serving-GNR-weekly/152/</t>
  </si>
  <si>
    <t>https://inteltf-jenk.sh.intel.com/job/ipex_pytorch_cpu_vllm_benchmark_router-serving-GNR-weekly/170/</t>
  </si>
  <si>
    <t>meta-llama/Llama-3.2-1B</t>
  </si>
  <si>
    <t>meta-llama/Llama-3.2-3B-Instruct</t>
  </si>
  <si>
    <t>meta-llama/Llama-3.3-70B-Instruct</t>
  </si>
  <si>
    <t>TP4</t>
  </si>
  <si>
    <t>FAIL</t>
  </si>
  <si>
    <t>TP6</t>
  </si>
  <si>
    <t>https://inteltf-jenk.sh.intel.com/job/ipex_pytorch_cpu_vllm_benchmark_router-serving-GNR-weekly/158/</t>
  </si>
  <si>
    <t>meta-llama/Llama-4-Scout-17B-16E-Instruct</t>
  </si>
  <si>
    <t>add "--max-model-len 8192"</t>
  </si>
  <si>
    <t>https://inteltf-jenk.sh.intel.com/job/ipex_pytorch_cpu_vllm_benchmark_router-serving-GNR-weekly/163/</t>
  </si>
  <si>
    <t>ValueError: ... max seq len (10485760), (120.84 GiB KV cache is needed, which is larger than the available KV cache memory (40.0 GiB). ... estimated maximum model length is 3421440.</t>
  </si>
  <si>
    <t>meta-llama/Llama-4-Maverick-17B-128E-Instruct</t>
  </si>
  <si>
    <t>https://inteltf-jenk.sh.intel.com/job/ipex_pytorch_cpu_vllm_benchmark_router-serving-GNR-weekly/154/</t>
  </si>
  <si>
    <t>Qwen/QwQ-32B</t>
  </si>
  <si>
    <t>TP2DP2</t>
  </si>
  <si>
    <t>TP3DP1</t>
  </si>
  <si>
    <t>https://inteltf-jenk.sh.intel.com/job/ipex_pytorch_cpu_vllm_benchmark_router-serving-GNR-weekly/157/</t>
  </si>
  <si>
    <t>Qwen/Qwen3-235B-A22B</t>
  </si>
  <si>
    <t>meta-llama/Llama-3.2-11B-Vision-Instruct</t>
  </si>
  <si>
    <t>vllm will not support this work load from V1</t>
  </si>
  <si>
    <t>AttributeError: 'MllamaProcessor' object has no attribute '_get_num_multimodal_tokens'</t>
  </si>
  <si>
    <t>https://inteltf-jenk.sh.intel.com/job/ipex_pytorch_cpu_vllm_benchmark_router-serving-GNR-weekly/135/</t>
  </si>
  <si>
    <t>deepseek-ai/DeepSeek-OCR</t>
  </si>
  <si>
    <t>google/gemma-3-4b-it</t>
  </si>
  <si>
    <t>https://inteltf-jenk.sh.intel.com/job/ipex_pytorch_cpu_vllm_benchmark_router-serving-GNR-weekly/153/</t>
  </si>
  <si>
    <t>google/gemma-3-12b-it</t>
  </si>
  <si>
    <t>https://inteltf-jenk.sh.intel.com/job/ipex_pytorch_cpu_vllm_benchmark_router-serving-GNR-weekly/156/</t>
  </si>
  <si>
    <t>result obtained with router_dp; link to native_dp also attached</t>
  </si>
  <si>
    <t>google/gemma-7b</t>
  </si>
  <si>
    <t>microsoft/Phi-4-reasoning</t>
  </si>
  <si>
    <t>microsoft/Phi-4-multimodal-instruct</t>
  </si>
  <si>
    <t>Qwen/Qwen3-14B</t>
  </si>
  <si>
    <t>Qwen/Qwen3-30B-A3B</t>
  </si>
  <si>
    <t>https://inteltf-jenk.sh.intel.com/job/ipex_pytorch_cpu_vllm_benchmark_router-serving-GNR-weekly/173/</t>
  </si>
  <si>
    <t>Qwen/Qwen3-VL-30B-A3B-Instruct</t>
  </si>
  <si>
    <t>add "--enforce-eager"</t>
  </si>
  <si>
    <t>https://inteltf-jenk.sh.intel.com/job/ipex_pytorch_cpu_vllm_benchmark_router-serving-GNR-weekly/166/</t>
  </si>
  <si>
    <t>https://inteltf-jenk.sh.intel.com/job/ipex_pytorch_cpu_vllm_benchmark_router-serving-GNR-weekly/174/</t>
  </si>
  <si>
    <t>Qwen/Qwen3-1.7B</t>
  </si>
  <si>
    <t>Qwen/Qwen3-4B</t>
  </si>
  <si>
    <t>Qwen/Qwen3-8B</t>
  </si>
  <si>
    <t>https://inteltf-jenk.sh.intel.com/job/ipex_pytorch_cpu_vllm_benchmark_router-serving-GNR-weekly/171/</t>
  </si>
  <si>
    <t>Qwen/Qwen2.5-VL-7B-Instruct</t>
  </si>
  <si>
    <t>mistralai/Mistral-7B-Instruct-v0.2</t>
  </si>
  <si>
    <t>https://inteltf-jenk.sh.intel.com/job/ipex_pytorch_cpu_vllm_benchmark_router-serving-GNR-weekly/176/</t>
  </si>
  <si>
    <t>ibm-granite/granite-3.2-2b-instruct</t>
  </si>
  <si>
    <t>zai-org/glm-4-9b-hf</t>
  </si>
  <si>
    <t>https://inteltf-jenk.sh.intel.com/job/ipex_pytorch_cpu_vllm_benchmark_router-serving-GNR-weekly/175/</t>
  </si>
  <si>
    <t>unsloth/gpt-oss-20b-BF16</t>
  </si>
  <si>
    <t>https://inteltf-jenk.sh.intel.com/job/ipex_pytorch_cpu_vllm_benchmark_router-serving-GNR-weekly/160/</t>
  </si>
  <si>
    <t>new added</t>
  </si>
  <si>
    <t>openai/whisper-large-v3</t>
  </si>
  <si>
    <t>use native_dp instead of router_dp</t>
  </si>
  <si>
    <t>https://inteltf-jenk.sh.intel.com/job/ipex_pytorch_cpu_vllm_benchmark_router-serving-GNR-weekly/165/</t>
  </si>
  <si>
    <t>Error 0: Bad Request</t>
  </si>
  <si>
    <t>RedHatAI/Meta-Llama-3.1-8B-quantized.w8a8</t>
  </si>
  <si>
    <t>INT8</t>
  </si>
  <si>
    <t>RedHatAI/Llama-3.2-1B-Instruct-quantized.w8a8</t>
  </si>
  <si>
    <t>RedHatAI/Llama-3.2-3B-Instruct-quantized.w8a8</t>
  </si>
  <si>
    <t>RedHatAI/DeepSeek-R1-Distill-Llama-70B-quantized.w8a8</t>
  </si>
  <si>
    <t>RedHatAI/QwQ-32B-quantized.w8a8</t>
  </si>
  <si>
    <t>RedHatAI/Meta-Llama-3.1-8B-Instruct-quantized.w8a8</t>
  </si>
  <si>
    <t>hugging-quants/Meta-Llama-3.1-8B-Instruct-AWQ-INT4</t>
  </si>
  <si>
    <t>INT4</t>
  </si>
  <si>
    <t>AMead10/Llama-3.2-1B-Instruct-AWQ</t>
  </si>
  <si>
    <t>AMead10/Llama-3.2-3B-Instruct-AWQ</t>
  </si>
  <si>
    <t>Qwen/QwQ-32B-AWQ</t>
  </si>
  <si>
    <t>Qwen/Qwen3-14B-AWQ</t>
  </si>
  <si>
    <t>TheBloke/Mistral-7B-Instruct-v0.2-AWQ</t>
  </si>
  <si>
    <t>Qwen/Qwen1.5-0.5B-Chat-GPTQ-Int4</t>
  </si>
  <si>
    <t>TheBloke/TinyLlama-1.1B-Chat-v1.0-AWQ</t>
  </si>
  <si>
    <t>TheBloke/TinyLlama-1.1B-Chat-v1.0-GPTQ</t>
  </si>
  <si>
    <t>Geomean</t>
  </si>
  <si>
    <t>GEOMEAN(IF((W3:W44&lt;&gt;0)*(ISNUMBER(W3:W44))*(C3:C44=C45), W3:W44))</t>
  </si>
  <si>
    <t>SLA TTFT &lt; 5s    TPOT&lt; 100ms</t>
  </si>
  <si>
    <t>1k/1k</t>
  </si>
  <si>
    <t>sglang: intel_dev</t>
  </si>
  <si>
    <t>vllm: latest rls</t>
  </si>
  <si>
    <t xml:space="preserve">vllm config: 
DP6  6 instances in parallel 
PP3DP2   2 instances in parallel, each instance has pp=3
PP6 only 1 instance with pp=6
default:  torch.compile   --no-enable-prefix-caching     </t>
  </si>
  <si>
    <t xml:space="preserve">Sglang config: 
DP6  TP1/per instance   6 instances in parallel 
TP3DP1   TP3/only 1 instance on 1 socket  (due to https://jira.devtools.intel.com/browse/SGLANGT-496)
TP6   TP6/only 1 instance
default:  enabled torch.compile     disable radix cache    mem-fraction-static 0.8   </t>
  </si>
  <si>
    <t>vLLM</t>
  </si>
  <si>
    <t>SGLang</t>
  </si>
  <si>
    <t>machine</t>
  </si>
  <si>
    <t>path</t>
  </si>
  <si>
    <t>Weight</t>
  </si>
  <si>
    <t>Output Throughput</t>
  </si>
  <si>
    <t>sglang note:   TP3DP1 --&gt; JIRA[SGLANGT-496]</t>
  </si>
  <si>
    <t>BF16/FP16/FP8/MXFP8/MXFP4/INT8/INT4</t>
  </si>
  <si>
    <t>A16/W16/W8/W4</t>
  </si>
  <si>
    <t>/localdisk2/huggingface/hub/models--meta-llama--Llama-3.1-8B-Instruct/snapshots/0e9e39f249a16976918f6564b8830bc894c89659</t>
  </si>
  <si>
    <t>/localdisk2/huggingface/hub/models--meta-llama--Llama-3.2-1B-Instruct/snapshots/9213176726f574b556790deb65791e0c5aa438b6</t>
  </si>
  <si>
    <t>/localdisk2/huggingface/hub/models--meta-llama--Llama-3.2-3B-Instruct/snapshots/0cb88a4f764b7a12671c53f0838cd831a0843b95</t>
  </si>
  <si>
    <t>/localdisk2/huggingface/hub/models--meta-llama--Llama-3.3-70B-Instruct/snapshots/6f6073b423013f6a7d4d9f39144961bfbfbc386b</t>
  </si>
  <si>
    <t>PP6</t>
  </si>
  <si>
    <t>/localdisk2/huggingface/hub/models--meta-llama--Llama-4-Scout-17B-16E-Instruct/snapshots/7dab2f5f854fe665b6b2f1eccbd3c48e5f627ad8</t>
  </si>
  <si>
    <t>AssertionError</t>
  </si>
  <si>
    <t>r12s04</t>
  </si>
  <si>
    <t>/localdisk1/huggingface/hub/models--meta-llama--Llama-4-Maverick-17B-128E-Instruct/snapshots/73d14711bcc77c16df3470856949c3764056b617</t>
  </si>
  <si>
    <t>/localdisk1/huggingface/hub/models--Qwen--QwQ-32B/snapshots/976055f8c83f394f35dbd3ab09a285a984907bd0</t>
  </si>
  <si>
    <t>PP3DP2</t>
  </si>
  <si>
    <t>https://inteltf-jenk.sh.intel.com/job/ipex_pytorch_cpu_sglang_benchmark_regular-serving-GNR-weekly/2558/</t>
  </si>
  <si>
    <t>/localdisk1/huggingface/hub/models--Qwen--Qwen3-235B-A22B/snapshots/8efa61729e24bd65b1d152b5ab5409052aa80e65</t>
  </si>
  <si>
    <t>https://inteltf-jenk.sh.intel.com/job/ipex_pytorch_cpu_sglang_benchmark_regular-serving-GNR-weekly/2555/</t>
  </si>
  <si>
    <t>/localdisk2/huggingface/hub/models--meta-llama--Llama-3.2-11B-Vision-Instruct/snapshots/9eb2daaa8597bf192a8b0e73f848f3a102794df5</t>
  </si>
  <si>
    <t>/localdisk/huggingface/hub/models--deepseek-ai--DeepSeek-OCR/snapshots/2c968b433af61a059311cbf8997765023806a24d</t>
  </si>
  <si>
    <t>/localdisk1/huggingface/hub/models--google--gemma-3-4b-it/snapshots/093f9f388b31de276ce2de164bdc2081324b9767</t>
  </si>
  <si>
    <t>/localdisk2/huggingface/hub/models--google--gemma-3-12b-it/snapshots/96b6f1eccf38110c56df3a15bffe176da04bfd80</t>
  </si>
  <si>
    <t>w/o compile    failed w/ compile</t>
  </si>
  <si>
    <t>https://inteltf-jenk.sh.intel.com/job/ipex_pytorch_cpu_sglang_benchmark_regular-serving-GNR-weekly/2600/</t>
  </si>
  <si>
    <t>/localdisk1/huggingface/hub/models--google--gemma-7b/snapshots/ff6768d9368919a1f025a54f9f5aa0ee591730bb</t>
  </si>
  <si>
    <t>/localdisk2/huggingface/hub/models--microsoft--Phi-4-reasoning/snapshots/02fcf71aa80ef8a810395734ac0fe9b98ec1d030</t>
  </si>
  <si>
    <t>w/o compile</t>
  </si>
  <si>
    <t>/localdisk2/huggingface/hub/models--microsoft--Phi-4-multimodal-instruct/snapshots/33e62acdd07cd7d6635badd529aa0a3467bb9c6a</t>
  </si>
  <si>
    <t>/localdisk2/huggingface/hub/models--Qwen--Qwen3-14B/snapshots/8268fe3026cb304910457689366670e803a6fd56</t>
  </si>
  <si>
    <t>/localdisk2/huggingface/hub/models--Qwen--Qwen3-30B-A3B/snapshots/ad44e777bcd18fa416d9da3bd8f70d33ebb85d39</t>
  </si>
  <si>
    <t>/localdisk/huggingface/hub/models--Qwen--Qwen3-VL-30B-A3B-Instruct/snapshots/4b184fbdab8886057d8d80c09f35bcfc65fe640e</t>
  </si>
  <si>
    <t>https://inteltf-jenk.sh.intel.com/job/ipex_pytorch_cpu_sglang_benchmark_regular-serving-GNR-weekly/2601</t>
  </si>
  <si>
    <t>Qwen/Qwen3-Next-80B-A3B-Instruct</t>
  </si>
  <si>
    <t>/localdisk/huggingface/hub/models--Qwen--Qwen3-Next-80B-A3B-Instruct/snapshots/9c7f2fbe84465e40164a94cc16cd30b6999b0cc7</t>
  </si>
  <si>
    <t>NA</t>
  </si>
  <si>
    <t>Qwen/Qwen3-Omni-30B-A3B-Instruct</t>
  </si>
  <si>
    <t>/localdisk3/huggingface/hub/models--Qwen--Qwen3-Omni-30B-A3B-Instruct/snapshots/26291f793822fb6be9555850f06dfe95f2d7e695</t>
  </si>
  <si>
    <t>/localdisk1/huggingface/hub/models--Qwen--Qwen3-1.7B/snapshots/70d244cc86ccca08cf5af4e1e306ecf908b1ad5e</t>
  </si>
  <si>
    <t>/localdisk1/huggingface/hub/models--Qwen--Qwen3-4B/snapshots/1cfa9a7208912126459214e8b04321603b3df60c</t>
  </si>
  <si>
    <t>/localdisk1/huggingface/hub/models--Qwen--Qwen3-8B/snapshots/b968826d9c46dd6066d109eabc6255188de91218</t>
  </si>
  <si>
    <t>/localdisk1/huggingface/hub/models--Qwen--Qwen2.5-VL-7B-Instruct/snapshots/cc594898137f460bfe9f0759e9844b3ce807cfb5</t>
  </si>
  <si>
    <t>/localdisk2/huggingface/hub/models--mistralai--Mistral-7B-Instruct-v0.2/snapshots/63a8b081895390a26e140280378bc85ec8bce07a</t>
  </si>
  <si>
    <t>？</t>
  </si>
  <si>
    <t>/localdisk1/huggingface/hub/models--ibm-granite--granite-3.2-2b-instruct/snapshots/641593c3b25bec0b1efe9f0f7d7a67f7243f86a3</t>
  </si>
  <si>
    <t>/localdisk1/huggingface/hub/models--zai-org--glm-4-9b-hf/snapshots/b44e98fcc8df0faba03a48b405356af6b91821e7</t>
  </si>
  <si>
    <t>X</t>
  </si>
  <si>
    <t>/localdisk2/huggingface/hub/models--openai--whisper-large-v3/snapshots/06f233fe06e710322aca913c1bc4249a0d71fce1</t>
  </si>
  <si>
    <t>SGLang does not support</t>
  </si>
  <si>
    <t>clowman/Llama-3.3-70B-Instruct-FP8-W128</t>
  </si>
  <si>
    <t>/localdisk/huggingface/hub/models--clowman--Llama-3.3-70B-Instruct-FP8-W128/snapshots/064886674e0d58fbf4cd5dad5f57143cbf5aedeb</t>
  </si>
  <si>
    <t xml:space="preserve">deepseek-ai/DeepSeek-R1 </t>
  </si>
  <si>
    <t>/localdisk2/huggingface/hub/models--deepseek-ai--DeepSeek-R1/snapshots/56d4cbbb4d29f4355bab4b9a39ccb717a14ad5ad</t>
  </si>
  <si>
    <t>deepseek-ai/DeepSeek-V3.1-Terminus</t>
  </si>
  <si>
    <t>/localdisk/huggingface/hub/models--deepseek-ai--DeepSeek-V3.1-Terminus/snapshots/19510d6dc61f79dbd925bd51ee8a9081c509a4b6</t>
  </si>
  <si>
    <t>Qwen/Qwen3-235B-A22B-Instruct-2507-FP8</t>
  </si>
  <si>
    <t>/localdisk/huggingface/hub/models--Qwen--Qwen3-235B-A22B-Instruct-2507-FP8/snapshots/c0eb82898e3da8fb6dd017e3e6698a5e37b3a3e6</t>
  </si>
  <si>
    <t>Qwen/Qwen3-14B-FP8</t>
  </si>
  <si>
    <t>/localdisk2/huggingface/hub/models--Qwen--Qwen3-14B-FP8/snapshots/f712be8aef955ba22e339b39525ea1cde62d0e88/</t>
  </si>
  <si>
    <t>https://inteltf-jenk.sh.intel.com/view/IPEX-CPU-LLM/job/pytorch_cpu_sglang_benchmark_loadbalencer-serving-GNR-tuning/108/</t>
  </si>
  <si>
    <t>Qwen/Qwen3-VL-30B-A3B-Instruct-FP8</t>
  </si>
  <si>
    <t>/localdisk/huggingface/hub/models--Qwen--Qwen3-VL-30B-A3B-Instruct-FP8/snapshots/5f85d7979ee99b0c352e6eaaef2320270053570c</t>
  </si>
  <si>
    <t>Qwen/Qwen3-Next-80B-A3B-Instruct-FP8</t>
  </si>
  <si>
    <t>/localdisk/huggingface/hub/models--Qwen--Qwen3-Next-80B-A3B-Instruct-FP8/snapshots/c5f5f263bdd5cc134092897864e8905d8fe7b928</t>
  </si>
  <si>
    <t>moonshotai/Kimi-K2-Instruct</t>
  </si>
  <si>
    <t>/localdisk/huggingface/hub/models--moonshotai--Kimi-K2-Instruct/snapshots/c52f808f632c07eb8361388616b1d04749373a94</t>
  </si>
  <si>
    <t>/localdisk3/huggingface/hub/models--RedHatAI--Meta-Llama-3.1-8B-Instruct-quantized.w8a8/snapshots/e2bfb7d92784ad7d1b606c2f9644d3cefb2ec708</t>
  </si>
  <si>
    <t>https://inteltf-jenk.sh.intel.com/view/IPEX-CPU-LLM/job/pytorch_cpu_sglang_benchmark_loadbalencer-serving-GNR-tuning/106/</t>
  </si>
  <si>
    <t>/localdisk2/huggingface/hub/models--RedHatAI--Llama-3.2-1B-Instruct-quantized.w8a8/snapshots/c1dce56eed4780655677bf3f93b92c84bd94d2ba</t>
  </si>
  <si>
    <t>RedHatAI/Llama-3.2-3B-Instruct-quantized.w8a9</t>
  </si>
  <si>
    <t>/localdisk2/huggingface/hub/models--RedHatAI--Llama-3.2-3B-quantized.w8a8/snapshots/02d03296bebaa69e1de340a350c853dd775c6fc3</t>
  </si>
  <si>
    <t>RedHatAI--DeepSeek-R1-Distill-Llama-70B-quantized.w8a8</t>
  </si>
  <si>
    <t>/localdisk/huggingface/hub/models--RedHatAI--DeepSeek-R1-Distill-Llama-70B-quantized.w8a8/snapshots/2fb57dc0dc61ccf5b282f96e9a6b939b447ecdbf</t>
  </si>
  <si>
    <t>https://inteltf-jenk.sh.intel.com/job/ipex_pytorch_cpu_sglang_benchmark_regular-serving-GNR-weekly/2602/</t>
  </si>
  <si>
    <t>meituan--DeepSeek-R1-Channel-INT8</t>
  </si>
  <si>
    <t>/localdisk2/huggingface/hub/models--meituan--DeepSeek-R1-Channel-INT8/snapshots/ce60f3d9b277691f84bb127ee2f84f377bd5954f</t>
  </si>
  <si>
    <t>IntervitensInc--DeepSeek-V3.1-Terminus-Channel-int8</t>
  </si>
  <si>
    <t>/localdisk/huggingface/hub/models--IntervitensInc--DeepSeek-V3.1-Terminus-Channel-int8/snapshots/5e14c8f8f6b0a5d557a3ca2773c59e6c1e863229</t>
  </si>
  <si>
    <t>Llama-4-Scout-17B-16E-Instruct-INT8</t>
  </si>
  <si>
    <t>/localdisk3/huggingface/hub/Llama-4-Scout-17B-16E-Instruct-INT8/w8g-1</t>
  </si>
  <si>
    <t>Llama-4-Maverick-17B-128E-Instruct-INT8</t>
  </si>
  <si>
    <t>/localdisk3/huggingface/hub/Llama-4-Maverick-17B-128E-Instruct-INT8/w8g-1</t>
  </si>
  <si>
    <t>RedHatAI--QwQ-32B-quantized.w8a8</t>
  </si>
  <si>
    <t>/localdisk2/huggingface/hub/models--RedHatAI--QwQ-32B-quantized.w8a8/snapshots/ebf7bc1d96323cb775dae86832c7f5ac5eaf171f/</t>
  </si>
  <si>
    <t>Qwen3-235B-A22B-Instruct-2507-INT8</t>
  </si>
  <si>
    <t>/localdisk2/huggingface/hub/Qwen3-235B-A22B-Instruct-2507-INT8/56e16a623ffb2855ca901a65166a9170e99df127-w8g-1</t>
  </si>
  <si>
    <t>/localdisk2/huggingface/hub/models--hugging-quants--Meta-Llama-3.1-8B-Instruct-AWQ-INT4/snapshots/db1f81ad4b8c7e39777509fac66c652eb0a52f91</t>
  </si>
  <si>
    <t>/localdisk2/huggingface/hub/models--AMead10--Llama-3.2-1B-Instruct-AWQ/snapshots/1e2d2db086c13336bdb8b22bd3aedc66c1afde33</t>
  </si>
  <si>
    <t>/localdisk2/huggingface/hub/models--AMead10--Llama-3.2-3B-Instruct-AWQ/snapshots/df494d4903f031dadaeb40434529f1c01efcd130</t>
  </si>
  <si>
    <t>/localdisk2/huggingface/hub/models--Qwen--QwQ-32B-AWQ/snapshots/dc9f21221581580ccfa51b74077db6056b56cb69</t>
  </si>
  <si>
    <t>worker died unexpected</t>
  </si>
  <si>
    <t>/localdisk2/huggingface/hub/models--Qwen--Qwen3-14B-AWQ/snapshots/31c69efc29464b6bb0aee1398b5a7b50a99340c3</t>
  </si>
  <si>
    <t>Intel/gpt-oss-20b-int4-g64-AutoRound</t>
  </si>
  <si>
    <t>/localdisk/huggingface/hub/gpt-oss-20b-int4-g64</t>
  </si>
  <si>
    <t>Intel/gpt-oss-120b-int4-g64-AutoRound</t>
  </si>
  <si>
    <t>/localdisk/huggingface/hub/gpt-oss-120b-int4-g64</t>
  </si>
  <si>
    <t>/localdisk2/huggingface/hub/models--TheBloke--Mistral-7B-Instruct-v0.2-AWQ/snapshots/f970a2bb89d5c2f9d217dc337f39e24625d6462a</t>
  </si>
  <si>
    <t>gptoss  mxfp4</t>
  </si>
  <si>
    <t>vllm reference</t>
  </si>
  <si>
    <t>Output Throughput (vs reference)</t>
  </si>
  <si>
    <t>throughput （vllm/sglang）</t>
  </si>
  <si>
    <t>1//16</t>
  </si>
  <si>
    <t>2.885/4.618</t>
  </si>
  <si>
    <t>224.99/53.47</t>
  </si>
  <si>
    <t>4.39/276.17</t>
  </si>
  <si>
    <t>failed on torch.compile, need comfirm with eager path</t>
  </si>
  <si>
    <t>meituan/DeepSeek-R1-Channel-INT8</t>
  </si>
  <si>
    <t>IntervitensInc/DeepSeek-V3.1-Terminus-Channel-int8</t>
  </si>
  <si>
    <t>router vs. native</t>
  </si>
  <si>
    <t>refresh  0320  upstream</t>
  </si>
  <si>
    <t>TTFT (ms)</t>
  </si>
  <si>
    <t>vLLM / SGLang</t>
  </si>
  <si>
    <t>Link to Job</t>
  </si>
  <si>
    <t>https://inteltf-jenk.sh.intel.com/job/ipex_pytorch_cpu_vllm_benchmark_router-serving-GNR-weekly/74/consoleText</t>
  </si>
  <si>
    <t>AssertionError: 1408 is not divisible by 6</t>
  </si>
  <si>
    <t>AssertionError: 1280 is not divisible by 3</t>
  </si>
  <si>
    <t>PR not merged yet</t>
  </si>
  <si>
    <t>RuntimeError: mat1 must be a 2D tensor</t>
  </si>
  <si>
    <t>TypeError: get_num_heads_padding_size() missing 1 required positional argument: 'head_dim'</t>
  </si>
  <si>
    <t>https://inteltf-jenk.sh.intel.com/job/ipex_pytorch_cpu_vllm_benchmark_router-serving-GNR-weekly/66/artifact/logs/</t>
  </si>
  <si>
    <t>launch failed</t>
  </si>
  <si>
    <t>AssertionError: 16 is not divisible by 3</t>
  </si>
  <si>
    <t>router not support, using --dp instead</t>
  </si>
  <si>
    <t>AssertionError: Please convert all Tensors to FakeTensors first or instantiate FakeTensorMode with 'allow_non_fake_inputs'. Found in sgl_kernel.bmm_cpu.default(tensor([...], size=(24, 32, 128), dtype=torch.bfloat16), tensor([...], size=(24, 32, 512), dtype=torch.bfloat16)</t>
  </si>
  <si>
    <t>16 is not divisible by 3</t>
  </si>
  <si>
    <t>the model has been deleted</t>
  </si>
  <si>
    <t>https://inteltf-jenk.sh.intel.com/job/ipex_pytorch_cpu_vllm_benchmark_router-serving-GNR-weekly/76/console</t>
  </si>
  <si>
    <t>Exception: Capture CPU graph failed: sgl_kernel::qkv_proj_with_rope_fused_weight() Expected a value of type 'Optional[Tensor]' for argument 'w_scale' but instead found type 'float'.</t>
  </si>
  <si>
    <t>INT4 PRs not merged yet</t>
  </si>
  <si>
    <t>Link</t>
  </si>
  <si>
    <t>/localdisk3</t>
  </si>
  <si>
    <t>https://inteltf-jenk.sh.intel.com/job/ipex_pytorch_cpu_vllm_benchmark_router-serving-GNR-weekly/119/</t>
  </si>
  <si>
    <t>https://inteltf-jenk.sh.intel.com/job/ipex_pytorch_cpu_vllm_benchmark_router-serving-GNR-weekly/139/,https://inteltf-jenk.sh.intel.com/job/ipex_pytorch_cpu_vllm_benchmark_router-serving-GNR-weekly/140/</t>
  </si>
  <si>
    <t>/localdisk1</t>
  </si>
  <si>
    <t>https://inteltf-jenk.sh.intel.com/job/ipex_pytorch_cpu_vllm_benchmark_router-serving-GNR-weekly/134/</t>
  </si>
  <si>
    <t>https://inteltf-jenk.sh.intel.com/job/ipex_pytorch_cpu_vllm_benchmark_router-serving-GNR-weekly/118/</t>
  </si>
  <si>
    <t>will be fixed in 0.19</t>
  </si>
  <si>
    <t>https://inteltf-jenk.sh.intel.com/job/ipex_pytorch_cpu_vllm_benchmark_router-serving-GNR-weekly/137/, https://inteltf-jenk.sh.intel.com/job/ipex_pytorch_cpu_vllm_benchmark_router-serving-GNR-weekly/138/</t>
  </si>
  <si>
    <t>https://inteltf-jenk.sh.intel.com/job/ipex_pytorch_cpu_vllm_benchmark_router-serving-GNR-weekly/124/</t>
  </si>
  <si>
    <t>https://inteltf-jenk.sh.intel.com/job/ipex_pytorch_cpu_vllm_benchmark_router-serving-GNR-weekly/126/</t>
  </si>
  <si>
    <t>https://inteltf-jenk.sh.intel.com/job/ipex_pytorch_cpu_vllm_benchmark_router-serving-GNR-weekly/127/</t>
  </si>
  <si>
    <t>https://inteltf-jenk.sh.intel.com/job/ipex_pytorch_cpu_vllm_benchmark_router-serving-GNR-weekly/120/</t>
  </si>
  <si>
    <t>https://inteltf-jenk.sh.intel.com/job/ipex_pytorch_cpu_vllm_benchmark_router-serving-GNR-weekly/117/</t>
  </si>
  <si>
    <t>https://inteltf-jenk.sh.intel.com/job/ipex_pytorch_cpu_vllm_benchmark_router-serving-GNR-weekly/129/</t>
  </si>
  <si>
    <t>https://inteltf-jenk.sh.intel.com/job/ipex_pytorch_cpu_vllm_benchmark_router-serving-GNR-weekly/123/</t>
  </si>
  <si>
    <t>gptoss mxfp4</t>
  </si>
  <si>
    <t>https://inteltf-jenk.sh.intel.com/job/ipex_pytorch_cpu_vllm_benchmark_router-serving-GNR-weekly/143/</t>
  </si>
  <si>
    <t>https://inteltf-jenk.sh.intel.com/job/ipex_pytorch_cpu_vllm_benchmark_router-serving-GNR-weekly/147/</t>
  </si>
  <si>
    <t>https://inteltf-jenk.sh.intel.com/job/ipex_pytorch_cpu_vllm_benchmark_router-serving-GNR-weekly/142/</t>
  </si>
  <si>
    <r>
      <rPr>
        <sz val="12"/>
        <color rgb="FF000000"/>
        <rFont val="Aptos Narrow"/>
        <scheme val="minor"/>
      </rPr>
      <t xml:space="preserve">use </t>
    </r>
    <r>
      <rPr>
        <b/>
        <sz val="12"/>
        <color rgb="FF000000"/>
        <rFont val="Aptos Narrow"/>
        <scheme val="minor"/>
      </rPr>
      <t>native_dp</t>
    </r>
    <r>
      <rPr>
        <sz val="12"/>
        <color rgb="FF000000"/>
        <rFont val="Aptos Narrow"/>
        <scheme val="minor"/>
      </rPr>
      <t xml:space="preserve"> instead of </t>
    </r>
    <r>
      <rPr>
        <b/>
        <sz val="12"/>
        <color rgb="FF000000"/>
        <rFont val="Aptos Narrow"/>
        <scheme val="minor"/>
      </rPr>
      <t>router_dp</t>
    </r>
  </si>
  <si>
    <t>New: vLLM build 29</t>
  </si>
  <si>
    <t>configs:</t>
  </si>
  <si>
    <t>vLLM build 28 vs build 29: DP6 = 6 instances in parallel; PP3DP2 = 2 instances each pp=3; TP4 = 1 instance tp=4; default torch.compile, --no-enable-prefix-caching</t>
  </si>
  <si>
    <t>SGLang: DP6 = TP1/instance 6 instances; TP3DP1 = TP3 1 instance/socket; TP6 = 1 instance; default torch.compile, disable radix cache, mem-fraction-static 0.8</t>
  </si>
  <si>
    <t>Note: SGLang TTFT in source had mixed units (some rows seconds, some milliseconds). Values preserved as-is from source.</t>
  </si>
  <si>
    <t>Old vLLM (build 28)</t>
  </si>
  <si>
    <t>Old SGLang (reference)</t>
  </si>
  <si>
    <t>New vLLM (build 29)</t>
  </si>
  <si>
    <t>Throughput Ratios</t>
  </si>
  <si>
    <t>Throughput</t>
  </si>
  <si>
    <t>TTFT</t>
  </si>
  <si>
    <t>New vLLM (29) / Old vLLM (28)</t>
  </si>
  <si>
    <t>New vLLM (29) / Old SGLang</t>
  </si>
  <si>
    <t>26</t>
  </si>
  <si>
    <t>https://inteltf-jenk.sh.intel.com/job/ipex_pytorch_cpu_vllm_benchmark_router-serving-GNR-weekly-automated/29/artifact/</t>
  </si>
  <si>
    <t>357</t>
  </si>
  <si>
    <t>48</t>
  </si>
  <si>
    <t>1</t>
  </si>
  <si>
    <t>3</t>
  </si>
  <si>
    <t>INFRA_ERROR</t>
  </si>
  <si>
    <t>ValueError: Available memory on node 0 (39.46/250.93 GiB) on kv cache allocation
is less than requested memory for kv (-2.51/200.75 GiB).
Reduce CPU memory used by other processes.</t>
  </si>
  <si>
    <t>https://inteltf-jenk.sh.intel.com/job/ipex_pytorch_cpu_vllm_benchmark_router-serving-GNR-weekly/196/console</t>
  </si>
  <si>
    <t>RuntimeError: ScratchPadManager: aligned_alloc failed for size 18446744071675408384</t>
  </si>
  <si>
    <t>https://inteltf-jenk.sh.intel.com/job/ipex_pytorch_cpu_vllm_benchmark_router-serving-GNR-weekly/198/console</t>
  </si>
  <si>
    <t>ValueError: Available memory on node 2 (4.32/251.98 GiB) on kv cache allocation
            is less than requested memory for kv (-41.49/201.58 GiB).</t>
  </si>
  <si>
    <t>https://inteltf-jenk.sh.intel.com/job/ipex_pytorch_cpu_vllm_benchmark_router-serving-GNR-weekly/197/console</t>
  </si>
  <si>
    <t>81</t>
  </si>
  <si>
    <t>25</t>
  </si>
  <si>
    <t>21</t>
  </si>
  <si>
    <t>19</t>
  </si>
  <si>
    <t>https://inteltf-jenk.sh.intel.com/job/ipex_pytorch_cpu_vllm_benchmark_router-serving-GNR-weekly/199/artifact/logs/</t>
  </si>
  <si>
    <t>11</t>
  </si>
  <si>
    <t>50</t>
  </si>
  <si>
    <t>18</t>
  </si>
  <si>
    <t>217</t>
  </si>
  <si>
    <t>73</t>
  </si>
  <si>
    <t>29</t>
  </si>
  <si>
    <t>100</t>
  </si>
  <si>
    <t>31</t>
  </si>
  <si>
    <t>82</t>
  </si>
  <si>
    <t>https://inteltf-jenk.sh.intel.com/job/ipex_pytorch_cpu_vllm_benchmark_router-serving-GNR-weekly/200/</t>
  </si>
  <si>
    <t>61</t>
  </si>
  <si>
    <t>427</t>
  </si>
  <si>
    <t>64</t>
  </si>
  <si>
    <t>2</t>
  </si>
  <si>
    <t>62</t>
  </si>
  <si>
    <t>27</t>
  </si>
  <si>
    <t>286</t>
  </si>
  <si>
    <t>69</t>
  </si>
  <si>
    <t>RuntimeError: Worker failed with error 'expected scalar type Float but found BFloat16'</t>
  </si>
  <si>
    <t>RuntimeError: Cannot access accelerator device when none is available.</t>
  </si>
  <si>
    <t>7</t>
  </si>
  <si>
    <t>471</t>
  </si>
  <si>
    <t>240</t>
  </si>
  <si>
    <t>180</t>
  </si>
  <si>
    <t>google/gemma-4-E2B-it</t>
  </si>
  <si>
    <t>https://inteltf-jenk.sh.intel.com/job/ipex_pytorch_cpu_vllm_benchmark_router-serving-GNR-weekly/190/</t>
  </si>
  <si>
    <t>google/gemma-4-E4B-it</t>
  </si>
  <si>
    <t>vllm vs sglang</t>
  </si>
  <si>
    <t>Jira</t>
  </si>
  <si>
    <t>jenkins job link</t>
  </si>
  <si>
    <t>https://jira.devtools.intel.com/browse/VLLMZ-948</t>
  </si>
  <si>
    <t>https://inteltf-jenk.sh.intel.com/job/ipex_pytorch_cpu_vllm_benchmark_router-serving-GNR-weekly/91/artifact/logs/</t>
  </si>
  <si>
    <t>https://jira.devtools.intel.com/browse/VLLMZ-949</t>
  </si>
  <si>
    <t>https://inteltf-jenk.sh.intel.com/job/ipex_pytorch_cpu_vllm_benchmark_router-serving-GNR-weekly/69/</t>
  </si>
  <si>
    <t>https://jira.devtools.intel.com/browse/VLLMZ-951</t>
  </si>
  <si>
    <t>https://jira.devtools.intel.com/browse/VLLMZ-950</t>
  </si>
  <si>
    <t>https://jira.devtools.intel.com/browse/VLLMZ-952</t>
  </si>
  <si>
    <t>https://jira.devtools.intel.com/browse/VLLMZ-953</t>
  </si>
  <si>
    <t>https://jira.devtools.intel.com/browse/VLLMZ-954</t>
  </si>
  <si>
    <t>https://inteltf-jenk.sh.intel.com/view/IPEX-CPU-Regular/job/ipex_pytorch_cpu_vllm_benchmark_router-serving-GNR-weekly-backup/45/console</t>
  </si>
  <si>
    <t>https://jira.devtools.intel.com/browse/VLLMZ-955</t>
  </si>
  <si>
    <t>https://inteltf-jenk.sh.intel.com/view/IPEX-CPU-Regular/job/ipex_pytorch_cpu_vllm_benchmark_router-serving-GNR-weekly-backup/46/artifact/logs/</t>
  </si>
  <si>
    <t>https://jira.devtools.intel.com/browse/VLLMZ-956</t>
  </si>
  <si>
    <t>https://jira.devtools.intel.com/browse/VLLMZ-957</t>
  </si>
  <si>
    <t>New vLLM: build 28</t>
  </si>
  <si>
    <t>vLLM: DP6 = 6 instances in parallel; PP3DP2 = 2 instances each pp=3; PP6 = 1 instance pp=6; default torch.compile, --no-enable-prefix-caching</t>
  </si>
  <si>
    <t>SGLang: DP6 = TP1/instance, 6 instances; TP3DP1 = TP3/1 instance/socket (per SGLANGT-496); TP6 = 1 instance; default enabled torch.compile, disable radix cache, mem-fraction-static 0.8</t>
  </si>
  <si>
    <t>Old vLLM (Sheet1 baseline)</t>
  </si>
  <si>
    <t>Old SGLang (vllm vs sglang sheet)</t>
  </si>
  <si>
    <t>New vLLM (build 28)</t>
  </si>
  <si>
    <t>New vLLM / Old vLLM</t>
  </si>
  <si>
    <t>New vLLM / Old SGLang</t>
  </si>
  <si>
    <t>https://inteltf-jenk.sh.intel.com/job/ipex_pytorch_cpu_vllm_benchmark_router-serving-GNR-weekly/187/</t>
  </si>
  <si>
    <t>modelid</t>
  </si>
  <si>
    <t>benchmark_script</t>
  </si>
  <si>
    <t>dtype</t>
  </si>
  <si>
    <t>datasets</t>
  </si>
  <si>
    <t>TP</t>
  </si>
  <si>
    <t>input/output</t>
  </si>
  <si>
    <t>num_prompts</t>
  </si>
  <si>
    <t>request_rate</t>
  </si>
  <si>
    <t>HW</t>
  </si>
  <si>
    <t>success_request</t>
  </si>
  <si>
    <t>token_throughput</t>
  </si>
  <si>
    <t>request_throughput</t>
  </si>
  <si>
    <t>first_token_latency</t>
  </si>
  <si>
    <t>inter_token_latency</t>
  </si>
  <si>
    <t>1st_throughput</t>
  </si>
  <si>
    <t>total_throughput</t>
  </si>
  <si>
    <t>serving_tuning_detail</t>
  </si>
  <si>
    <t>fp8</t>
  </si>
  <si>
    <t>random</t>
  </si>
  <si>
    <t>inf</t>
  </si>
  <si>
    <t>cpu</t>
  </si>
  <si>
    <t>Optimal batch_size for max throughput under TPOT &lt; 100 ms and TTFT &lt; 5000 ms is 4 with throughput=            38.73      tok/s: /localdisk/huggingface/hub/models--clowman--Llama-3.3-70B-Instruct-FP8-W128/snapshots/064886674e0d58fbf4cd5dad5f57143cbf5aedeb</t>
  </si>
  <si>
    <t xml:space="preserve"> 100/5000</t>
  </si>
  <si>
    <t xml:space="preserve"> </t>
  </si>
  <si>
    <t xml:space="preserve"> TPOT=                             98.68     </t>
  </si>
  <si>
    <t xml:space="preserve"> TTFT=                            4792.11</t>
  </si>
  <si>
    <t>Optimal batch_size for max throughput under TPOT &lt; 100 ms and TTFT &lt; 5000 ms is 1 with throughput=            13.40      tok/s: /localdisk2/huggingface/hub/models--deepseek-ai--DeepSeek-R1/snapshots/56d4cbbb4d29f4355bab4b9a39ccb717a14ad5ad</t>
  </si>
  <si>
    <t xml:space="preserve"> TPOT=                             0.00      </t>
  </si>
  <si>
    <t xml:space="preserve"> TTFT=                            0.00</t>
  </si>
  <si>
    <t>Optimal batch_size for max throughput under TPOT &lt; 100 ms and TTFT &lt; 5000 ms is 1 with throughput=            13.41      tok/s: /localdisk/huggingface/hub/models--deepseek-ai--DeepSeek-V3.1-Terminus/snapshots/19510d6dc61f79dbd925bd51ee8a9081c509a4b6</t>
  </si>
  <si>
    <t xml:space="preserve"> TPOT=                             72.75     </t>
  </si>
  <si>
    <t xml:space="preserve"> TTFT=                            1994.99</t>
  </si>
  <si>
    <t>Optimal batch_size for max throughput under TPOT &lt; 100 ms and TTFT &lt; 5000 ms is 4 with throughput=            39.87      tok/s: /localdisk/huggingface/hub/models--Qwen--Qwen3-235B-A22B-Instruct-2507-FP8/snapshots/c0eb82898e3da8fb6dd017e3e6698a5e37b3a3e6</t>
  </si>
  <si>
    <t xml:space="preserve"> TPOT=                             97.01     </t>
  </si>
  <si>
    <t xml:space="preserve"> TTFT=                            3461.00</t>
  </si>
  <si>
    <t>model</t>
  </si>
  <si>
    <t>dataset</t>
  </si>
  <si>
    <t>tp</t>
  </si>
  <si>
    <t>length_config</t>
  </si>
  <si>
    <t>num_prompt</t>
  </si>
  <si>
    <t>extra_env</t>
  </si>
  <si>
    <t>extra_args</t>
  </si>
  <si>
    <t>backend</t>
  </si>
  <si>
    <t>hardware</t>
  </si>
  <si>
    <t>test_mode</t>
  </si>
  <si>
    <t>expected</t>
  </si>
  <si>
    <t>group</t>
  </si>
  <si>
    <t>strict-match</t>
  </si>
  <si>
    <t>flexible-extract</t>
  </si>
  <si>
    <t>duration(s)</t>
  </si>
  <si>
    <t>test link</t>
  </si>
  <si>
    <t>strict-match-nv</t>
  </si>
  <si>
    <t>flexible-extract-nv</t>
  </si>
  <si>
    <t>dummy</t>
  </si>
  <si>
    <t>1024/1024</t>
  </si>
  <si>
    <t>--trust-remote-code --dtype bfloat16</t>
  </si>
  <si>
    <t>vllm</t>
  </si>
  <si>
    <t>CPU</t>
  </si>
  <si>
    <t>accuracy_serving</t>
  </si>
  <si>
    <t>NAN</t>
  </si>
  <si>
    <t>accuracy_cpu</t>
  </si>
  <si>
    <t>https://inteltf-jenk.sh.intel.com/job/ipex_pytorch_cpu_vllm_accuracy/39</t>
  </si>
  <si>
    <t>meta-llama/Llama-3.2-1B-Instruct</t>
  </si>
  <si>
    <t>https://inteltf-jenk.sh.intel.com/job/ipex_pytorch_cpu_vllm_accuracy/34/</t>
  </si>
  <si>
    <t>ipex_pytorch_cpu_vllm_accuracy #34-Acc-3 [Jenkins]</t>
  </si>
  <si>
    <t>timeout++</t>
  </si>
  <si>
    <t>Server failed</t>
  </si>
  <si>
    <t>inteltf-jenk.sh.intel.com/job/ipex_pytorch_cpu_vllm_accuracy/39/artifact/logs/meta-llama-Llama-4-Scout-17B-16E-Instruct_accuracy_cpu_BF16_dummy_Length-1024-1024_TP2DP2-1_Prompt-16_BS-_Request-inf_0088567cee85c219.log</t>
  </si>
  <si>
    <t>TP2 can work</t>
  </si>
  <si>
    <t>inteltf-jenk.sh.intel.com/job/ipex_pytorch_cpu_vllm_accuracy/43/artifact/logs/meta-llama-Llama-4-Scout-17B-16E-Instruct_accuracy_cpu_BF16_dummy_Length-1024-1024_TP2-2_Prompt-16_BS-_Request-inf_0088567cee85c219.log</t>
  </si>
  <si>
    <t>　</t>
  </si>
  <si>
    <t>https://inteltf-jenk.sh.intel.com/job/ipex_pytorch_cpu_vllm_accuracy/37</t>
  </si>
  <si>
    <t>ipex_pytorch_cpu_vllm_accuracy #38-Qwen/Qwen3-235B-A22B [Jenkins]</t>
  </si>
  <si>
    <t>OOM for 4 cards</t>
  </si>
  <si>
    <t>inteltf-jenk.sh.intel.com/job/ipex_pytorch_cpu_vllm_accuracy/39/artifact/logs/server_deepseek-ai-DeepSeek-OCR_accuracy_cpu_BF16_dummy_Length-1024-1024_DP6-6_Prompt-16_BS-_Request-inf_0088567cee85c219.log</t>
  </si>
  <si>
    <t>ipex_pytorch_cpu_vllm_accuracy #44-deepseek-ai/DeepSeek-OCR [Jenkins]</t>
  </si>
  <si>
    <t>ipex_pytorch_cpu_vllm_accuracy #33-Acc [Jenkins]</t>
  </si>
  <si>
    <t>google/gemma-7b-it</t>
  </si>
  <si>
    <t>https://inteltf-jenk.sh.intel.com/job/ipex_pytorch_cpu_vllm_accuracy/34</t>
  </si>
  <si>
    <t>OOM</t>
  </si>
  <si>
    <t>inteltf-jenk.sh.intel.com/job/ipex_pytorch_cpu_vllm_accuracy/39/artifact/logs/server_meta-llama-Llama-4-Scout-17B-16E-Instruct_accuracy_cpu_BF16_dummy_Length-1024-1024_TP2DP2-1_Prompt-16_BS-_Request-inf_0088567cee85c219.log</t>
  </si>
  <si>
    <t>vllm bench serve --model Qwen/Qwen3-VL-30B-A3B-Instruct --dataset-name random --random-input-len=256 --random-output-len=32 --num-warmups=0 --ignore-eos --num-prompt 1 --request-rate 1 --max-concurrency 1 --temperature=0 --backend vllm --port=8000 --host 127.0.0.1</t>
  </si>
  <si>
    <t>Model Qwen2_5-VL-7B-Instruct x Dataset LongVideoBench combination failed: [Errno 28] No space left on device, skipping this combination.</t>
  </si>
  <si>
    <t>wait 124</t>
  </si>
  <si>
    <t>no template_chatglm2.jinja</t>
  </si>
  <si>
    <t>inteltf-jenk.sh.intel.com/job/ipex_pytorch_cpu_vllm_accuracy/39/artifact/logs/openai-whisper-large-v3_accuracy_cpu_BF16_dummy_Length-1024-1024_DP6-6_Prompt-16_BS-_Request-inf_0088567cee85c219.log</t>
  </si>
  <si>
    <t>Change base model to Instruct model, due (Status code: 400, Response text: {"error":{"message":"As of transformers v4.44, default chat template is no longer allowed, so you must provide a chat template if the tokenizer does not define one.","type":"BadRequestError","param":null,"code":400}}. Retrying...)</t>
  </si>
  <si>
    <t>VLLM_RPC_TIMEOUT=1000000
+ VLLM_USE_V1=1
+ VLLM_ALLOW_LONG_MAX_MODEL_LEN=1
+ VLLM_ENGINE_ITERATION_TIMEOUT_S=600
+ VLLM_CPU_KVCACHE_SPACE=40
+ VLLM_CPU_OMP_THREADS_BIND=0-42
+ python3 -m vllm.entrypoints.openai.api_server --model meta-llama/Llama-4-Scout-17B-16E-Instruct --swap-space 40 --trust-remote-code --max-model-len 4096 --port 8123 --host localhost --dtype bfloat16</t>
  </si>
  <si>
    <t>VLLM_USE_V1=1 VLLM_RPC_TIMEOUT=1000000 VLLM_ALLOW_LONG_MAX_MODEL_LEN=1 VLLM_ENGINE_ITERATION_TIMEOUT_S=600 VLLM_CPU_KVCACHE_SPACE=40 VLLM_CPU_OMP_THREADS_BIND="0-42|43-85|86-127|128-170|171-213|214-255" python3 -m vllm.entrypoints.openai.api_server --model deepseek-ai/DeepSeek-OCR  --data-parallel-size 6 --distributed-executor-backend mp --trust-remote-code  --max-model-len 4096 --port 8123 --host localhost --dtype bfloat16</t>
  </si>
  <si>
    <t>VLLM_RPC_TIMEOUT=1000000
+ VLLM_USE_V1=1
+ VLLM_ALLOW_LONG_MAX_MODEL_LEN=1
+ VLLM_ENGINE_ITERATION_TIMEOUT_S=600
+ VLLM_CPU_KVCACHE_SPACE=40
+ VLLM_CPU_OMP_THREADS_BIND=0-42
+ python3 -m vllm.entrypoints.openai.api_server --model Qwen/Qwen3-VL-30B-A3B-Instruct --swap-space 40 --trust-remote-code --max-model-len 4096 --port 8123 --host localhost --dtype bfloat16</t>
  </si>
  <si>
    <t>LongVideoBench</t>
  </si>
  <si>
    <t>VLLM_USE_V1=1 VLLM_RPC_TIMEOUT=1000000 VLLM_ALLOW_LONG_MAX_MODEL_LEN=1 VLLM_ENGINE_ITERATION_TIMEOUT_S=600 VLLM_CPU_KVCACHE_SPACE=40 VLLM_CPU_OMP_THREADS_BIND="0-42|43-85|86-127|128-170" python3 -m vllm.entrypoints.openai.api_server --model Qwen/Qwen2.5-VL-7B-Instruct  -tp=4 --distributed-executor-backend mp --trust-remote-code  --max-model-len 4096 --port 8000 --host 0.0.0.0 --dtype bfloat16</t>
  </si>
  <si>
    <t>MMMU_DEV_VAL</t>
  </si>
  <si>
    <t>VLLM_USE_V1=1 VLLM_RPC_TIMEOUT=1000000 VLLM_ALLOW_LONG_MAX_MODEL_LEN=1 VLLM_ENGINE_ITERATION_TIMEOUT_S=600 VLLM_CPU_KVCACHE_SPACE=40 VLLM_CPU_OMP_THREADS_BIND="0-42|43-85|86-127|128-170|171-213|214-255" python3 -m vllm.entrypoints.openai.api_server --model openai/whisper-large-v3  --data-parallel-size 6 --distributed-executor-backend mp --trust-remote-code  --max-model-len 4096 --port 8123 --host localhost --dtype bfloat16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</si>
</sst>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charset val="1"/>
    </font>
    <font>
      <sz val="10"/>
      <color rgb="FF000000"/>
      <name val="Arial Unicode MS"/>
    </font>
    <font>
      <b/>
      <sz val="14"/>
      <color theme="1"/>
      <name val="Aptos Narrow"/>
      <family val="2"/>
      <scheme val="minor"/>
    </font>
    <font>
      <sz val="11"/>
      <color theme="1"/>
      <name val="Aptos Narrow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</font>
    <font>
      <sz val="9"/>
      <color rgb="FFBBBEBF"/>
      <name val="Consolas"/>
      <charset val="1"/>
    </font>
    <font>
      <sz val="11"/>
      <color theme="1"/>
      <name val="Calibri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375623"/>
      <name val="Arial"/>
    </font>
    <font>
      <sz val="9"/>
      <color rgb="FF9C0006"/>
      <name val="Arial"/>
    </font>
    <font>
      <sz val="11"/>
      <color rgb="FF000000"/>
      <name val="等线"/>
      <charset val="134"/>
    </font>
    <font>
      <b/>
      <sz val="10"/>
      <color rgb="FF000000"/>
      <name val="Arial Unicode MS"/>
    </font>
    <font>
      <b/>
      <sz val="11"/>
      <color rgb="FFFFFFFF"/>
      <name val="等线"/>
      <charset val="134"/>
    </font>
    <font>
      <u/>
      <sz val="9"/>
      <color rgb="FF0563C1"/>
      <name val="Arial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color rgb="FF000000"/>
      <name val="Courier New"/>
      <charset val="1"/>
    </font>
    <font>
      <sz val="10"/>
      <color rgb="FF14141F"/>
      <name val="Ui-Monospace"/>
      <charset val="1"/>
    </font>
    <font>
      <b/>
      <sz val="12"/>
      <color rgb="FF000000"/>
      <name val="Aptos Narrow"/>
      <charset val="1"/>
    </font>
    <font>
      <sz val="11"/>
      <color rgb="FF000000"/>
      <name val="Aptos Narrow"/>
      <charset val="1"/>
    </font>
    <font>
      <i/>
      <sz val="10"/>
      <color rgb="FF7F6000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  <charset val="1"/>
    </font>
    <font>
      <b/>
      <sz val="12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9B59B6"/>
      </patternFill>
    </fill>
    <fill>
      <patternFill patternType="solid">
        <fgColor rgb="FF5D6D7E"/>
      </patternFill>
    </fill>
    <fill>
      <patternFill patternType="solid">
        <fgColor rgb="FFD5E8A0"/>
      </patternFill>
    </fill>
    <fill>
      <patternFill patternType="solid">
        <fgColor rgb="FFF3E6FF"/>
      </patternFill>
    </fill>
    <fill>
      <patternFill patternType="solid">
        <fgColor rgb="FFFFD7D7"/>
      </patternFill>
    </fill>
    <fill>
      <patternFill patternType="solid">
        <fgColor rgb="FFC0E6F5"/>
        <bgColor rgb="FFC0E6F5"/>
      </patternFill>
    </fill>
    <fill>
      <patternFill patternType="solid">
        <fgColor rgb="FFC1F0C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DAE9F8"/>
        <bgColor rgb="FF000000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E2EFDA"/>
        <bgColor rgb="FFDAE9F8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4D9F0"/>
      </patternFill>
    </fill>
    <fill>
      <patternFill patternType="solid">
        <fgColor rgb="FFE4D9F0"/>
        <bgColor rgb="FFD9D9D9"/>
      </patternFill>
    </fill>
    <fill>
      <patternFill patternType="solid">
        <fgColor theme="0"/>
        <bgColor rgb="FFC0E6F5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/>
      <diagonal/>
    </border>
    <border>
      <left/>
      <right/>
      <top style="thin">
        <color rgb="FF44B3E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0" fillId="8" borderId="0" xfId="0" applyNumberForma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6" fontId="0" fillId="5" borderId="3" xfId="0" applyNumberFormat="1" applyFill="1" applyBorder="1" applyAlignment="1">
      <alignment horizontal="center" vertical="center"/>
    </xf>
    <xf numFmtId="10" fontId="0" fillId="9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10" fontId="0" fillId="10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0" borderId="0" xfId="1"/>
    <xf numFmtId="0" fontId="3" fillId="0" borderId="16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14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4" fillId="3" borderId="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5" borderId="3" xfId="0" applyFill="1" applyBorder="1"/>
    <xf numFmtId="0" fontId="0" fillId="3" borderId="4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7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0" fontId="19" fillId="0" borderId="0" xfId="0" applyFont="1"/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3" fillId="16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7" fillId="20" borderId="19" xfId="0" applyFont="1" applyFill="1" applyBorder="1"/>
    <xf numFmtId="0" fontId="7" fillId="20" borderId="20" xfId="0" applyFont="1" applyFill="1" applyBorder="1"/>
    <xf numFmtId="0" fontId="7" fillId="0" borderId="19" xfId="0" applyFont="1" applyBorder="1"/>
    <xf numFmtId="0" fontId="7" fillId="0" borderId="20" xfId="0" applyFont="1" applyBorder="1"/>
    <xf numFmtId="0" fontId="27" fillId="0" borderId="20" xfId="0" applyFont="1" applyBorder="1"/>
    <xf numFmtId="0" fontId="11" fillId="0" borderId="20" xfId="0" applyFont="1" applyBorder="1"/>
    <xf numFmtId="0" fontId="7" fillId="21" borderId="20" xfId="0" applyFont="1" applyFill="1" applyBorder="1"/>
    <xf numFmtId="0" fontId="27" fillId="20" borderId="20" xfId="0" applyFont="1" applyFill="1" applyBorder="1"/>
    <xf numFmtId="0" fontId="27" fillId="22" borderId="20" xfId="0" applyFont="1" applyFill="1" applyBorder="1"/>
    <xf numFmtId="0" fontId="27" fillId="22" borderId="20" xfId="0" quotePrefix="1" applyFont="1" applyFill="1" applyBorder="1"/>
    <xf numFmtId="0" fontId="7" fillId="23" borderId="19" xfId="0" applyFont="1" applyFill="1" applyBorder="1"/>
    <xf numFmtId="0" fontId="7" fillId="23" borderId="20" xfId="0" applyFont="1" applyFill="1" applyBorder="1"/>
    <xf numFmtId="0" fontId="7" fillId="25" borderId="3" xfId="0" applyFont="1" applyFill="1" applyBorder="1"/>
    <xf numFmtId="0" fontId="7" fillId="25" borderId="21" xfId="0" applyFont="1" applyFill="1" applyBorder="1"/>
    <xf numFmtId="0" fontId="7" fillId="25" borderId="22" xfId="0" applyFont="1" applyFill="1" applyBorder="1"/>
    <xf numFmtId="0" fontId="7" fillId="25" borderId="23" xfId="0" applyFont="1" applyFill="1" applyBorder="1"/>
    <xf numFmtId="0" fontId="27" fillId="20" borderId="20" xfId="0" quotePrefix="1" applyFont="1" applyFill="1" applyBorder="1"/>
    <xf numFmtId="0" fontId="27" fillId="0" borderId="20" xfId="0" quotePrefix="1" applyFont="1" applyBorder="1"/>
    <xf numFmtId="0" fontId="23" fillId="26" borderId="0" xfId="0" applyFont="1" applyFill="1" applyAlignment="1">
      <alignment horizontal="center" vertical="center" wrapText="1"/>
    </xf>
    <xf numFmtId="0" fontId="23" fillId="27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24" borderId="24" xfId="0" applyFont="1" applyFill="1" applyBorder="1"/>
    <xf numFmtId="0" fontId="28" fillId="24" borderId="24" xfId="0" applyFont="1" applyFill="1" applyBorder="1"/>
    <xf numFmtId="0" fontId="23" fillId="16" borderId="17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10" fontId="24" fillId="5" borderId="1" xfId="0" applyNumberFormat="1" applyFont="1" applyFill="1" applyBorder="1" applyAlignment="1">
      <alignment horizontal="center" vertical="center" wrapText="1"/>
    </xf>
    <xf numFmtId="10" fontId="24" fillId="18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6" fillId="0" borderId="20" xfId="1" applyBorder="1"/>
    <xf numFmtId="0" fontId="27" fillId="5" borderId="20" xfId="0" applyFont="1" applyFill="1" applyBorder="1"/>
    <xf numFmtId="0" fontId="6" fillId="0" borderId="0" xfId="1" applyAlignment="1"/>
    <xf numFmtId="0" fontId="7" fillId="5" borderId="20" xfId="0" applyFont="1" applyFill="1" applyBorder="1"/>
    <xf numFmtId="0" fontId="6" fillId="20" borderId="20" xfId="1" applyFill="1" applyBorder="1"/>
    <xf numFmtId="0" fontId="34" fillId="5" borderId="0" xfId="0" applyFont="1" applyFill="1"/>
    <xf numFmtId="0" fontId="6" fillId="20" borderId="25" xfId="1" applyFill="1" applyBorder="1" applyAlignment="1"/>
    <xf numFmtId="0" fontId="6" fillId="0" borderId="17" xfId="1" applyBorder="1" applyAlignment="1">
      <alignment horizontal="left" vertical="center" wrapText="1"/>
    </xf>
    <xf numFmtId="0" fontId="35" fillId="0" borderId="0" xfId="0" applyFont="1"/>
    <xf numFmtId="0" fontId="34" fillId="0" borderId="0" xfId="0" applyFont="1"/>
    <xf numFmtId="0" fontId="9" fillId="21" borderId="3" xfId="0" applyFont="1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34" fillId="0" borderId="3" xfId="0" applyFont="1" applyBorder="1"/>
    <xf numFmtId="0" fontId="35" fillId="0" borderId="3" xfId="0" applyFont="1" applyBorder="1"/>
    <xf numFmtId="0" fontId="9" fillId="0" borderId="3" xfId="0" applyFont="1" applyBorder="1"/>
    <xf numFmtId="0" fontId="27" fillId="0" borderId="24" xfId="0" applyFont="1" applyBorder="1"/>
    <xf numFmtId="0" fontId="27" fillId="0" borderId="26" xfId="0" applyFont="1" applyBorder="1"/>
    <xf numFmtId="0" fontId="28" fillId="24" borderId="26" xfId="0" applyFont="1" applyFill="1" applyBorder="1"/>
    <xf numFmtId="0" fontId="37" fillId="0" borderId="29" xfId="0" applyFont="1" applyBorder="1"/>
    <xf numFmtId="0" fontId="37" fillId="0" borderId="29" xfId="0" applyFont="1" applyBorder="1" applyAlignment="1">
      <alignment wrapText="1"/>
    </xf>
    <xf numFmtId="0" fontId="37" fillId="28" borderId="29" xfId="0" applyFont="1" applyFill="1" applyBorder="1" applyAlignment="1">
      <alignment wrapText="1"/>
    </xf>
    <xf numFmtId="0" fontId="37" fillId="29" borderId="29" xfId="0" applyFont="1" applyFill="1" applyBorder="1" applyAlignment="1">
      <alignment wrapText="1"/>
    </xf>
    <xf numFmtId="0" fontId="37" fillId="30" borderId="29" xfId="0" applyFont="1" applyFill="1" applyBorder="1" applyAlignment="1">
      <alignment wrapText="1"/>
    </xf>
    <xf numFmtId="10" fontId="37" fillId="30" borderId="29" xfId="0" applyNumberFormat="1" applyFont="1" applyFill="1" applyBorder="1" applyAlignment="1">
      <alignment wrapText="1"/>
    </xf>
    <xf numFmtId="0" fontId="39" fillId="0" borderId="0" xfId="0" applyFont="1"/>
    <xf numFmtId="0" fontId="40" fillId="28" borderId="29" xfId="0" applyFont="1" applyFill="1" applyBorder="1" applyAlignment="1">
      <alignment wrapText="1"/>
    </xf>
    <xf numFmtId="0" fontId="40" fillId="33" borderId="29" xfId="0" applyFont="1" applyFill="1" applyBorder="1" applyAlignment="1">
      <alignment wrapText="1"/>
    </xf>
    <xf numFmtId="0" fontId="40" fillId="29" borderId="29" xfId="0" applyFont="1" applyFill="1" applyBorder="1" applyAlignment="1">
      <alignment wrapText="1"/>
    </xf>
    <xf numFmtId="0" fontId="37" fillId="33" borderId="29" xfId="0" applyFont="1" applyFill="1" applyBorder="1" applyAlignment="1">
      <alignment wrapText="1"/>
    </xf>
    <xf numFmtId="0" fontId="40" fillId="30" borderId="29" xfId="0" applyFont="1" applyFill="1" applyBorder="1" applyAlignment="1">
      <alignment wrapText="1"/>
    </xf>
    <xf numFmtId="0" fontId="7" fillId="9" borderId="20" xfId="0" applyFont="1" applyFill="1" applyBorder="1"/>
    <xf numFmtId="0" fontId="7" fillId="34" borderId="20" xfId="0" applyFont="1" applyFill="1" applyBorder="1"/>
    <xf numFmtId="0" fontId="7" fillId="35" borderId="20" xfId="0" applyFont="1" applyFill="1" applyBorder="1"/>
    <xf numFmtId="0" fontId="43" fillId="28" borderId="29" xfId="0" applyFont="1" applyFill="1" applyBorder="1" applyAlignment="1">
      <alignment horizontal="center" vertical="center" wrapText="1"/>
    </xf>
    <xf numFmtId="0" fontId="43" fillId="33" borderId="29" xfId="0" applyFont="1" applyFill="1" applyBorder="1" applyAlignment="1">
      <alignment horizontal="center" vertical="center" wrapText="1"/>
    </xf>
    <xf numFmtId="0" fontId="43" fillId="29" borderId="29" xfId="0" applyFont="1" applyFill="1" applyBorder="1" applyAlignment="1">
      <alignment horizontal="center" vertical="center" wrapText="1"/>
    </xf>
    <xf numFmtId="0" fontId="43" fillId="30" borderId="29" xfId="0" applyFont="1" applyFill="1" applyBorder="1" applyAlignment="1">
      <alignment horizontal="center" vertical="center" wrapText="1"/>
    </xf>
    <xf numFmtId="0" fontId="42" fillId="0" borderId="29" xfId="0" applyFont="1" applyBorder="1" applyAlignment="1">
      <alignment horizontal="left" vertical="center"/>
    </xf>
    <xf numFmtId="0" fontId="42" fillId="0" borderId="29" xfId="0" applyFont="1" applyBorder="1" applyAlignment="1">
      <alignment horizontal="center" vertical="center" wrapText="1"/>
    </xf>
    <xf numFmtId="0" fontId="42" fillId="28" borderId="29" xfId="0" applyFont="1" applyFill="1" applyBorder="1" applyAlignment="1">
      <alignment horizontal="center" vertical="center" wrapText="1"/>
    </xf>
    <xf numFmtId="164" fontId="42" fillId="28" borderId="29" xfId="0" applyNumberFormat="1" applyFont="1" applyFill="1" applyBorder="1" applyAlignment="1">
      <alignment horizontal="center" vertical="center" wrapText="1"/>
    </xf>
    <xf numFmtId="2" fontId="42" fillId="28" borderId="29" xfId="0" applyNumberFormat="1" applyFont="1" applyFill="1" applyBorder="1" applyAlignment="1">
      <alignment horizontal="center" vertical="center" wrapText="1"/>
    </xf>
    <xf numFmtId="0" fontId="42" fillId="33" borderId="29" xfId="0" applyFont="1" applyFill="1" applyBorder="1" applyAlignment="1">
      <alignment horizontal="center" vertical="center" wrapText="1"/>
    </xf>
    <xf numFmtId="164" fontId="42" fillId="33" borderId="29" xfId="0" applyNumberFormat="1" applyFont="1" applyFill="1" applyBorder="1" applyAlignment="1">
      <alignment horizontal="center" vertical="center" wrapText="1"/>
    </xf>
    <xf numFmtId="2" fontId="42" fillId="33" borderId="29" xfId="0" applyNumberFormat="1" applyFont="1" applyFill="1" applyBorder="1" applyAlignment="1">
      <alignment horizontal="center" vertical="center" wrapText="1"/>
    </xf>
    <xf numFmtId="0" fontId="42" fillId="29" borderId="29" xfId="0" applyFont="1" applyFill="1" applyBorder="1" applyAlignment="1">
      <alignment horizontal="center" vertical="center" wrapText="1"/>
    </xf>
    <xf numFmtId="164" fontId="42" fillId="29" borderId="29" xfId="0" applyNumberFormat="1" applyFont="1" applyFill="1" applyBorder="1" applyAlignment="1">
      <alignment horizontal="center" vertical="center" wrapText="1"/>
    </xf>
    <xf numFmtId="2" fontId="42" fillId="29" borderId="29" xfId="0" applyNumberFormat="1" applyFont="1" applyFill="1" applyBorder="1" applyAlignment="1">
      <alignment horizontal="center" vertical="center" wrapText="1"/>
    </xf>
    <xf numFmtId="165" fontId="42" fillId="30" borderId="29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37" fillId="28" borderId="29" xfId="0" applyFont="1" applyFill="1" applyBorder="1" applyAlignment="1">
      <alignment horizont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3" fillId="29" borderId="30" xfId="0" applyFont="1" applyFill="1" applyBorder="1" applyAlignment="1">
      <alignment horizontal="center" vertical="center" wrapText="1"/>
    </xf>
    <xf numFmtId="0" fontId="43" fillId="30" borderId="30" xfId="0" applyFont="1" applyFill="1" applyBorder="1" applyAlignment="1">
      <alignment horizontal="center" vertical="center" wrapText="1"/>
    </xf>
    <xf numFmtId="0" fontId="41" fillId="31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43" fillId="32" borderId="27" xfId="0" applyFont="1" applyFill="1" applyBorder="1" applyAlignment="1">
      <alignment horizontal="center" vertical="center" wrapText="1"/>
    </xf>
    <xf numFmtId="0" fontId="43" fillId="28" borderId="30" xfId="0" applyFont="1" applyFill="1" applyBorder="1" applyAlignment="1">
      <alignment horizontal="center" vertical="center" wrapText="1"/>
    </xf>
    <xf numFmtId="0" fontId="43" fillId="33" borderId="30" xfId="0" applyFont="1" applyFill="1" applyBorder="1" applyAlignment="1">
      <alignment horizontal="center" vertical="center" wrapText="1"/>
    </xf>
    <xf numFmtId="0" fontId="22" fillId="16" borderId="17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0" fillId="30" borderId="30" xfId="0" applyFont="1" applyFill="1" applyBorder="1" applyAlignment="1">
      <alignment wrapText="1"/>
    </xf>
    <xf numFmtId="0" fontId="40" fillId="30" borderId="31" xfId="0" applyFont="1" applyFill="1" applyBorder="1" applyAlignment="1">
      <alignment wrapText="1"/>
    </xf>
    <xf numFmtId="0" fontId="40" fillId="32" borderId="27" xfId="0" applyFont="1" applyFill="1" applyBorder="1" applyAlignment="1">
      <alignment wrapText="1"/>
    </xf>
    <xf numFmtId="0" fontId="40" fillId="32" borderId="28" xfId="0" applyFont="1" applyFill="1" applyBorder="1" applyAlignment="1">
      <alignment wrapText="1"/>
    </xf>
    <xf numFmtId="0" fontId="40" fillId="28" borderId="30" xfId="0" applyFont="1" applyFill="1" applyBorder="1" applyAlignment="1">
      <alignment wrapText="1"/>
    </xf>
    <xf numFmtId="0" fontId="40" fillId="28" borderId="31" xfId="0" applyFont="1" applyFill="1" applyBorder="1" applyAlignment="1">
      <alignment wrapText="1"/>
    </xf>
    <xf numFmtId="0" fontId="40" fillId="33" borderId="30" xfId="0" applyFont="1" applyFill="1" applyBorder="1" applyAlignment="1">
      <alignment wrapText="1"/>
    </xf>
    <xf numFmtId="0" fontId="40" fillId="33" borderId="31" xfId="0" applyFont="1" applyFill="1" applyBorder="1" applyAlignment="1">
      <alignment wrapText="1"/>
    </xf>
    <xf numFmtId="0" fontId="40" fillId="29" borderId="30" xfId="0" applyFont="1" applyFill="1" applyBorder="1" applyAlignment="1">
      <alignment wrapText="1"/>
    </xf>
    <xf numFmtId="0" fontId="40" fillId="29" borderId="31" xfId="0" applyFont="1" applyFill="1" applyBorder="1" applyAlignment="1">
      <alignment wrapText="1"/>
    </xf>
    <xf numFmtId="0" fontId="36" fillId="31" borderId="0" xfId="0" applyFont="1" applyFill="1" applyAlignment="1">
      <alignment wrapText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0" fillId="0" borderId="1" xfId="0" applyBorder="1" applyAlignment="1"/>
    <xf numFmtId="0" fontId="0" fillId="0" borderId="17" xfId="0" applyBorder="1" applyAlignment="1"/>
  </cellXfs>
  <cellStyles count="2">
    <cellStyle name="Hyperlink" xfId="1" xr:uid="{00000000-000B-0000-0000-000008000000}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fill>
        <patternFill patternType="solid">
          <fgColor rgb="FF000000"/>
          <bgColor rgb="FFDAE9F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fill>
        <patternFill patternType="solid">
          <fgColor rgb="FF000000"/>
          <bgColor rgb="FFFBE2D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fill>
        <patternFill patternType="solid">
          <fgColor rgb="FF156082"/>
          <bgColor rgb="FF15608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ao, Wei" id="{667635C0-F1D8-324D-8B9A-AF7AB71831B0}" userId="S::wei.liao@intel.com::095f0c10-b722-49da-8e3d-3640678774b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8BD64-BF7F-43AD-921C-1F99A64C1B8F}" name="表1" displayName="表1" ref="A1:V43" totalsRowShown="0" headerRowDxfId="23" dataDxfId="22" headerRowBorderDxfId="20" tableBorderDxfId="21">
  <autoFilter ref="A1:V43" xr:uid="{47E8BD64-BF7F-43AD-921C-1F99A64C1B8F}"/>
  <tableColumns count="22">
    <tableColumn id="1" xr3:uid="{D337C28C-0AFB-4FC4-82D9-9DB73525F933}" name="machine" dataDxfId="19"/>
    <tableColumn id="2" xr3:uid="{54266683-C5DC-41AD-8EFE-BD58842768B5}" name="model" dataDxfId="18"/>
    <tableColumn id="3" xr3:uid="{F270E047-3B4D-4BC1-8BD0-8E3B0C310220}" name="path" dataDxfId="17"/>
    <tableColumn id="4" xr3:uid="{05ABA37E-CE24-4535-8A75-7AD6B72C49E3}" name="dtype" dataDxfId="16"/>
    <tableColumn id="5" xr3:uid="{4946DB2A-B75D-475F-BA29-05BDA1394AA4}" name="dataset" dataDxfId="15"/>
    <tableColumn id="6" xr3:uid="{4E885783-CA96-457E-9F4C-E46531546276}" name="tp" dataDxfId="14"/>
    <tableColumn id="7" xr3:uid="{55CD30DD-5FBD-4AAC-B17B-0C959184BCEB}" name="length_config" dataDxfId="13"/>
    <tableColumn id="8" xr3:uid="{D7C56DCB-0185-491D-9E36-9E5FF8891C18}" name="num_prompt" dataDxfId="12"/>
    <tableColumn id="9" xr3:uid="{06BA84D1-7112-4DB3-85D6-BD49430939D0}" name="request_rate" dataDxfId="11"/>
    <tableColumn id="10" xr3:uid="{77E354B8-C1DB-4882-9AD1-656BDD449E5E}" name="extra_env" dataDxfId="10"/>
    <tableColumn id="11" xr3:uid="{654093D1-D8F7-4481-BE1B-4693AF0B648A}" name="extra_args" dataDxfId="9"/>
    <tableColumn id="12" xr3:uid="{70046920-DECF-472D-8B53-2BA9CAA236E0}" name="backend" dataDxfId="8"/>
    <tableColumn id="13" xr3:uid="{5A01F9FB-6035-4F7C-9652-69C194B88B7F}" name="hardware" dataDxfId="7"/>
    <tableColumn id="14" xr3:uid="{0C74AF96-13DB-4BA1-BDF4-520CFBE74228}" name="test_mode" dataDxfId="6"/>
    <tableColumn id="15" xr3:uid="{D64B4BBE-076D-49FB-9F4C-650685E085C0}" name="expected" dataDxfId="5"/>
    <tableColumn id="16" xr3:uid="{8178B785-830B-44C6-9147-44206A48BC7D}" name="group" dataDxfId="4"/>
    <tableColumn id="17" xr3:uid="{F6B8631D-A2A8-46AB-9EC8-74264CB7DA0B}" name="strict-match"/>
    <tableColumn id="18" xr3:uid="{A20390A3-64CA-4CB5-BDFC-B0F3FD05033D}" name="flexible-extract"/>
    <tableColumn id="19" xr3:uid="{B27D6495-6317-4584-9EAE-5DC8703E3AAC}" name="duration(s)" dataDxfId="3"/>
    <tableColumn id="20" xr3:uid="{0514751C-D7F3-4166-B886-8DD63B539387}" name="test link" dataDxfId="2"/>
    <tableColumn id="21" xr3:uid="{415ECDB8-19DD-4B68-A2CE-877B92D14009}" name="strict-match-nv" dataDxfId="1"/>
    <tableColumn id="22" xr3:uid="{63228099-3B6D-45D2-AC8C-C37C70953F9F}" name="flexible-extract-n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3" dT="2026-02-06T16:35:58.84" personId="{667635C0-F1D8-324D-8B9A-AF7AB71831B0}" id="{BFA4DF22-B110-42E5-AB5F-F7B015A7A93B}">
    <text>need fix a bug of vllm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3" dT="2026-02-06T16:35:58.84" personId="{667635C0-F1D8-324D-8B9A-AF7AB71831B0}" id="{08F2E008-FF21-4CB4-AAA6-2DC587B038FF}">
    <text>need fix a bug of vllm</text>
  </threadedComment>
  <threadedComment ref="S33" dT="2026-02-06T16:35:58.84" personId="{667635C0-F1D8-324D-8B9A-AF7AB71831B0}" id="{7FA4D1D8-D304-4BF0-B844-F3EA687C2AFD}">
    <text>need fix a bug of vllm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33" dT="2026-02-06T16:35:58.84" personId="{667635C0-F1D8-324D-8B9A-AF7AB71831B0}" id="{EC047507-D0AF-4B25-A9ED-E9CBA6358A7E}">
    <text>need fix a bug of vllm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32" dT="2026-02-06T16:35:58.84" personId="{667635C0-F1D8-324D-8B9A-AF7AB71831B0}" id="{B0D4F1D5-9D48-449F-84A1-4FE42038A989}">
    <text>need fix a bug of vllm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S32" dT="2026-02-06T16:35:58.84" personId="{667635C0-F1D8-324D-8B9A-AF7AB71831B0}" id="{9A028CAC-0845-4997-A0FF-5A11D0C5944A}">
    <text>need fix a bug of vllm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R32" dT="2026-02-06T16:35:58.84" personId="{667635C0-F1D8-324D-8B9A-AF7AB71831B0}" id="{D141877D-006E-48C3-82A0-1D30FBDC6F24}">
    <text>need fix a bug of vllm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S33" dT="2026-02-06T16:35:58.84" personId="{667635C0-F1D8-324D-8B9A-AF7AB71831B0}" id="{4537C23A-3722-4E99-A635-7D01C656E7FF}">
    <text>need fix a bug of vllm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teltf-jenk.sh.intel.com/job/ipex_pytorch_cpu_vllm_benchmark_router-serving-GNR-weekly/166/" TargetMode="External"/><Relationship Id="rId1" Type="http://schemas.openxmlformats.org/officeDocument/2006/relationships/hyperlink" Target="https://inteltf-jenk.sh.intel.com/job/ipex_pytorch_cpu_vllm_benchmark_router-serving-GNR-weekly/16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view/IPEX-CPU-LLM/job/pytorch_cpu_sglang_benchmark_loadbalencer-serving-GNR-tuning/108/" TargetMode="External"/><Relationship Id="rId3" Type="http://schemas.openxmlformats.org/officeDocument/2006/relationships/hyperlink" Target="https://inteltf-jenk.sh.intel.com/job/ipex_pytorch_cpu_sglang_benchmark_regular-serving-GNR-weekly/2600/" TargetMode="External"/><Relationship Id="rId7" Type="http://schemas.openxmlformats.org/officeDocument/2006/relationships/hyperlink" Target="https://inteltf-jenk.sh.intel.com/job/ipex_pytorch_cpu_sglang_benchmark_regular-serving-GNR-weekly/2602/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inteltf-jenk.sh.intel.com/job/ipex_pytorch_cpu_sglang_benchmark_regular-serving-GNR-weekly/2555/" TargetMode="External"/><Relationship Id="rId1" Type="http://schemas.openxmlformats.org/officeDocument/2006/relationships/hyperlink" Target="https://inteltf-jenk.sh.intel.com/job/ipex_pytorch_cpu_sglang_benchmark_regular-serving-GNR-weekly/2558/" TargetMode="External"/><Relationship Id="rId6" Type="http://schemas.openxmlformats.org/officeDocument/2006/relationships/hyperlink" Target="https://inteltf-jenk.sh.intel.com/view/IPEX-CPU-LLM/job/pytorch_cpu_sglang_benchmark_loadbalencer-serving-GNR-tuning/106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inteltf-jenk.sh.intel.com/job/ipex_pytorch_cpu_sglang_benchmark_regular-serving-GNR-weekly/2599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inteltf-jenk.sh.intel.com/job/ipex_pytorch_cpu_sglang_benchmark_regular-serving-GNR-weekly/2601" TargetMode="External"/><Relationship Id="rId9" Type="http://schemas.openxmlformats.org/officeDocument/2006/relationships/hyperlink" Target="https://jira.devtools.intel.com/browse/SGLANGT-49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jira.devtools.intel.com/browse/SGLANGT-496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job/ipex_pytorch_cpu_vllm_benchmark_router-serving-GNR-weekly/76/console" TargetMode="External"/><Relationship Id="rId3" Type="http://schemas.openxmlformats.org/officeDocument/2006/relationships/hyperlink" Target="https://inteltf-jenk.sh.intel.com/job/ipex_pytorch_cpu_vllm_benchmark_router-serving-GNR-weekly/74/consoleText" TargetMode="External"/><Relationship Id="rId7" Type="http://schemas.openxmlformats.org/officeDocument/2006/relationships/hyperlink" Target="https://inteltf-jenk.sh.intel.com/job/ipex_pytorch_cpu_vllm_benchmark_router-serving-GNR-weekly/74/consoleText" TargetMode="External"/><Relationship Id="rId2" Type="http://schemas.openxmlformats.org/officeDocument/2006/relationships/hyperlink" Target="https://inteltf-jenk.sh.intel.com/job/ipex_pytorch_cpu_vllm_benchmark_router-serving-GNR-weekly/74/consoleText" TargetMode="External"/><Relationship Id="rId1" Type="http://schemas.openxmlformats.org/officeDocument/2006/relationships/hyperlink" Target="https://jira.devtools.intel.com/browse/SGLANGT-496" TargetMode="External"/><Relationship Id="rId6" Type="http://schemas.openxmlformats.org/officeDocument/2006/relationships/hyperlink" Target="https://inteltf-jenk.sh.intel.com/job/ipex_pytorch_cpu_vllm_benchmark_router-serving-GNR-weekly/66/artifact/logs/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https://inteltf-jenk.sh.intel.com/job/ipex_pytorch_cpu_vllm_benchmark_router-serving-GNR-weekly/66/artifact/logs/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inteltf-jenk.sh.intel.com/job/ipex_pytorch_cpu_vllm_benchmark_router-serving-GNR-weekly/66/artifact/logs/" TargetMode="External"/><Relationship Id="rId9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job/ipex_pytorch_cpu_vllm_benchmark_router-serving-GNR-weekly/123/" TargetMode="External"/><Relationship Id="rId13" Type="http://schemas.openxmlformats.org/officeDocument/2006/relationships/hyperlink" Target="https://inteltf-jenk.sh.intel.com/job/ipex_pytorch_cpu_vllm_benchmark_router-serving-GNR-weekly/129/" TargetMode="External"/><Relationship Id="rId18" Type="http://schemas.openxmlformats.org/officeDocument/2006/relationships/hyperlink" Target="https://inteltf-jenk.sh.intel.com/job/ipex_pytorch_cpu_vllm_benchmark_router-serving-GNR-weekly/137/,%20https:/inteltf-jenk.sh.intel.com/job/ipex_pytorch_cpu_vllm_benchmark_router-serving-GNR-weekly/138/" TargetMode="External"/><Relationship Id="rId3" Type="http://schemas.openxmlformats.org/officeDocument/2006/relationships/hyperlink" Target="https://inteltf-jenk.sh.intel.com/job/ipex_pytorch_cpu_vllm_benchmark_router-serving-GNR-weekly/118/" TargetMode="External"/><Relationship Id="rId21" Type="http://schemas.openxmlformats.org/officeDocument/2006/relationships/hyperlink" Target="https://inteltf-jenk.sh.intel.com/job/ipex_pytorch_cpu_vllm_benchmark_router-serving-GNR-weekly/135/" TargetMode="External"/><Relationship Id="rId7" Type="http://schemas.openxmlformats.org/officeDocument/2006/relationships/hyperlink" Target="https://inteltf-jenk.sh.intel.com/job/ipex_pytorch_cpu_vllm_benchmark_router-serving-GNR-weekly/117/" TargetMode="External"/><Relationship Id="rId12" Type="http://schemas.openxmlformats.org/officeDocument/2006/relationships/hyperlink" Target="https://inteltf-jenk.sh.intel.com/job/ipex_pytorch_cpu_vllm_benchmark_router-serving-GNR-weekly/120/" TargetMode="External"/><Relationship Id="rId17" Type="http://schemas.openxmlformats.org/officeDocument/2006/relationships/hyperlink" Target="https://inteltf-jenk.sh.intel.com/job/ipex_pytorch_cpu_vllm_benchmark_router-serving-GNR-weekly/127/" TargetMode="External"/><Relationship Id="rId2" Type="http://schemas.openxmlformats.org/officeDocument/2006/relationships/hyperlink" Target="https://inteltf-jenk.sh.intel.com/job/ipex_pytorch_cpu_vllm_benchmark_router-serving-GNR-weekly/118/" TargetMode="External"/><Relationship Id="rId16" Type="http://schemas.openxmlformats.org/officeDocument/2006/relationships/hyperlink" Target="https://inteltf-jenk.sh.intel.com/job/ipex_pytorch_cpu_vllm_benchmark_router-serving-GNR-weekly/129/" TargetMode="External"/><Relationship Id="rId20" Type="http://schemas.openxmlformats.org/officeDocument/2006/relationships/hyperlink" Target="https://inteltf-jenk.sh.intel.com/job/ipex_pytorch_cpu_vllm_benchmark_router-serving-GNR-weekly/134/" TargetMode="External"/><Relationship Id="rId1" Type="http://schemas.openxmlformats.org/officeDocument/2006/relationships/hyperlink" Target="https://jira.devtools.intel.com/browse/SGLANGT-496" TargetMode="External"/><Relationship Id="rId6" Type="http://schemas.openxmlformats.org/officeDocument/2006/relationships/hyperlink" Target="https://inteltf-jenk.sh.intel.com/job/ipex_pytorch_cpu_vllm_benchmark_router-serving-GNR-weekly/117/" TargetMode="External"/><Relationship Id="rId11" Type="http://schemas.openxmlformats.org/officeDocument/2006/relationships/hyperlink" Target="https://inteltf-jenk.sh.intel.com/job/ipex_pytorch_cpu_vllm_benchmark_router-serving-GNR-weekly/126/" TargetMode="External"/><Relationship Id="rId24" Type="http://schemas.microsoft.com/office/2017/10/relationships/threadedComment" Target="../threadedComments/threadedComment4.xml"/><Relationship Id="rId5" Type="http://schemas.openxmlformats.org/officeDocument/2006/relationships/hyperlink" Target="https://inteltf-jenk.sh.intel.com/job/ipex_pytorch_cpu_vllm_benchmark_router-serving-GNR-weekly/117/" TargetMode="External"/><Relationship Id="rId15" Type="http://schemas.openxmlformats.org/officeDocument/2006/relationships/hyperlink" Target="https://inteltf-jenk.sh.intel.com/job/ipex_pytorch_cpu_vllm_benchmark_router-serving-GNR-weekly/129/" TargetMode="External"/><Relationship Id="rId23" Type="http://schemas.openxmlformats.org/officeDocument/2006/relationships/comments" Target="../comments4.xml"/><Relationship Id="rId10" Type="http://schemas.openxmlformats.org/officeDocument/2006/relationships/hyperlink" Target="https://inteltf-jenk.sh.intel.com/job/ipex_pytorch_cpu_vllm_benchmark_router-serving-GNR-weekly/124/" TargetMode="External"/><Relationship Id="rId19" Type="http://schemas.openxmlformats.org/officeDocument/2006/relationships/hyperlink" Target="https://inteltf-jenk.sh.intel.com/job/ipex_pytorch_cpu_vllm_benchmark_router-serving-GNR-weekly/139/,https:/inteltf-jenk.sh.intel.com/job/ipex_pytorch_cpu_vllm_benchmark_router-serving-GNR-weekly/140/" TargetMode="External"/><Relationship Id="rId4" Type="http://schemas.openxmlformats.org/officeDocument/2006/relationships/hyperlink" Target="https://inteltf-jenk.sh.intel.com/job/ipex_pytorch_cpu_vllm_benchmark_router-serving-GNR-weekly/119/" TargetMode="External"/><Relationship Id="rId9" Type="http://schemas.openxmlformats.org/officeDocument/2006/relationships/hyperlink" Target="https://inteltf-jenk.sh.intel.com/job/ipex_pytorch_cpu_vllm_benchmark_router-serving-GNR-weekly/124/" TargetMode="External"/><Relationship Id="rId14" Type="http://schemas.openxmlformats.org/officeDocument/2006/relationships/hyperlink" Target="https://inteltf-jenk.sh.intel.com/job/ipex_pytorch_cpu_vllm_benchmark_router-serving-GNR-weekly/129/" TargetMode="External"/><Relationship Id="rId22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job/ipex_pytorch_cpu_vllm_benchmark_router-serving-GNR-weekly/124/" TargetMode="External"/><Relationship Id="rId13" Type="http://schemas.openxmlformats.org/officeDocument/2006/relationships/hyperlink" Target="https://inteltf-jenk.sh.intel.com/job/ipex_pytorch_cpu_vllm_benchmark_router-serving-GNR-weekly/129/" TargetMode="External"/><Relationship Id="rId18" Type="http://schemas.openxmlformats.org/officeDocument/2006/relationships/hyperlink" Target="https://inteltf-jenk.sh.intel.com/job/ipex_pytorch_cpu_vllm_benchmark_router-serving-GNR-weekly/143/" TargetMode="External"/><Relationship Id="rId3" Type="http://schemas.openxmlformats.org/officeDocument/2006/relationships/hyperlink" Target="https://inteltf-jenk.sh.intel.com/job/ipex_pytorch_cpu_vllm_benchmark_router-serving-GNR-weekly/118/" TargetMode="External"/><Relationship Id="rId21" Type="http://schemas.openxmlformats.org/officeDocument/2006/relationships/hyperlink" Target="https://inteltf-jenk.sh.intel.com/job/ipex_pytorch_cpu_vllm_benchmark_router-serving-GNR-weekly/117/" TargetMode="External"/><Relationship Id="rId7" Type="http://schemas.openxmlformats.org/officeDocument/2006/relationships/hyperlink" Target="https://inteltf-jenk.sh.intel.com/job/ipex_pytorch_cpu_vllm_benchmark_router-serving-GNR-weekly/123/" TargetMode="External"/><Relationship Id="rId12" Type="http://schemas.openxmlformats.org/officeDocument/2006/relationships/hyperlink" Target="https://inteltf-jenk.sh.intel.com/job/ipex_pytorch_cpu_vllm_benchmark_router-serving-GNR-weekly/129/" TargetMode="External"/><Relationship Id="rId17" Type="http://schemas.openxmlformats.org/officeDocument/2006/relationships/hyperlink" Target="https://inteltf-jenk.sh.intel.com/job/ipex_pytorch_cpu_vllm_benchmark_router-serving-GNR-weekly/137/,%20https:/inteltf-jenk.sh.intel.com/job/ipex_pytorch_cpu_vllm_benchmark_router-serving-GNR-weekly/138/" TargetMode="External"/><Relationship Id="rId2" Type="http://schemas.openxmlformats.org/officeDocument/2006/relationships/hyperlink" Target="https://inteltf-jenk.sh.intel.com/job/ipex_pytorch_cpu_vllm_benchmark_router-serving-GNR-weekly/147/" TargetMode="External"/><Relationship Id="rId16" Type="http://schemas.openxmlformats.org/officeDocument/2006/relationships/hyperlink" Target="https://inteltf-jenk.sh.intel.com/job/ipex_pytorch_cpu_vllm_benchmark_router-serving-GNR-weekly/127/" TargetMode="External"/><Relationship Id="rId20" Type="http://schemas.openxmlformats.org/officeDocument/2006/relationships/hyperlink" Target="https://inteltf-jenk.sh.intel.com/job/ipex_pytorch_cpu_vllm_benchmark_router-serving-GNR-weekly/135/" TargetMode="External"/><Relationship Id="rId1" Type="http://schemas.openxmlformats.org/officeDocument/2006/relationships/hyperlink" Target="https://jira.devtools.intel.com/browse/SGLANGT-496" TargetMode="External"/><Relationship Id="rId6" Type="http://schemas.openxmlformats.org/officeDocument/2006/relationships/hyperlink" Target="https://inteltf-jenk.sh.intel.com/job/ipex_pytorch_cpu_vllm_benchmark_router-serving-GNR-weekly/117/" TargetMode="External"/><Relationship Id="rId11" Type="http://schemas.openxmlformats.org/officeDocument/2006/relationships/hyperlink" Target="https://inteltf-jenk.sh.intel.com/job/ipex_pytorch_cpu_vllm_benchmark_router-serving-GNR-weekly/120/" TargetMode="External"/><Relationship Id="rId24" Type="http://schemas.microsoft.com/office/2017/10/relationships/threadedComment" Target="../threadedComments/threadedComment5.xml"/><Relationship Id="rId5" Type="http://schemas.openxmlformats.org/officeDocument/2006/relationships/hyperlink" Target="https://inteltf-jenk.sh.intel.com/job/ipex_pytorch_cpu_vllm_benchmark_router-serving-GNR-weekly/142/" TargetMode="External"/><Relationship Id="rId15" Type="http://schemas.openxmlformats.org/officeDocument/2006/relationships/hyperlink" Target="https://inteltf-jenk.sh.intel.com/job/ipex_pytorch_cpu_vllm_benchmark_router-serving-GNR-weekly/129/" TargetMode="External"/><Relationship Id="rId23" Type="http://schemas.openxmlformats.org/officeDocument/2006/relationships/comments" Target="../comments5.xml"/><Relationship Id="rId10" Type="http://schemas.openxmlformats.org/officeDocument/2006/relationships/hyperlink" Target="https://inteltf-jenk.sh.intel.com/job/ipex_pytorch_cpu_vllm_benchmark_router-serving-GNR-weekly/126/" TargetMode="External"/><Relationship Id="rId19" Type="http://schemas.openxmlformats.org/officeDocument/2006/relationships/hyperlink" Target="https://inteltf-jenk.sh.intel.com/job/ipex_pytorch_cpu_vllm_benchmark_router-serving-GNR-weekly/134/" TargetMode="External"/><Relationship Id="rId4" Type="http://schemas.openxmlformats.org/officeDocument/2006/relationships/hyperlink" Target="https://inteltf-jenk.sh.intel.com/job/ipex_pytorch_cpu_vllm_benchmark_router-serving-GNR-weekly/119/" TargetMode="External"/><Relationship Id="rId9" Type="http://schemas.openxmlformats.org/officeDocument/2006/relationships/hyperlink" Target="https://inteltf-jenk.sh.intel.com/job/ipex_pytorch_cpu_vllm_benchmark_router-serving-GNR-weekly/124/" TargetMode="External"/><Relationship Id="rId14" Type="http://schemas.openxmlformats.org/officeDocument/2006/relationships/hyperlink" Target="https://inteltf-jenk.sh.intel.com/job/ipex_pytorch_cpu_vllm_benchmark_router-serving-GNR-weekly/129/" TargetMode="External"/><Relationship Id="rId22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nteltf-jenk.sh.intel.com/job/ipex_pytorch_cpu_vllm_benchmark_router-serving-GNR-weekly/152/" TargetMode="External"/><Relationship Id="rId18" Type="http://schemas.openxmlformats.org/officeDocument/2006/relationships/hyperlink" Target="https://inteltf-jenk.sh.intel.com/job/ipex_pytorch_cpu_vllm_benchmark_router-serving-GNR-weekly/154/" TargetMode="External"/><Relationship Id="rId26" Type="http://schemas.openxmlformats.org/officeDocument/2006/relationships/hyperlink" Target="https://inteltf-jenk.sh.intel.com/job/ipex_pytorch_cpu_vllm_benchmark_router-serving-GNR-weekly/152/" TargetMode="External"/><Relationship Id="rId39" Type="http://schemas.openxmlformats.org/officeDocument/2006/relationships/hyperlink" Target="https://inteltf-jenk.sh.intel.com/job/ipex_pytorch_cpu_vllm_benchmark_router-serving-GNR-weekly/153/" TargetMode="External"/><Relationship Id="rId21" Type="http://schemas.openxmlformats.org/officeDocument/2006/relationships/hyperlink" Target="https://inteltf-jenk.sh.intel.com/job/ipex_pytorch_cpu_vllm_benchmark_router-serving-GNR-weekly/152/" TargetMode="External"/><Relationship Id="rId34" Type="http://schemas.openxmlformats.org/officeDocument/2006/relationships/hyperlink" Target="https://inteltf-jenk.sh.intel.com/job/ipex_pytorch_cpu_vllm_benchmark_router-serving-GNR-weekly/153/" TargetMode="External"/><Relationship Id="rId42" Type="http://schemas.openxmlformats.org/officeDocument/2006/relationships/hyperlink" Target="https://inteltf-jenk.sh.intel.com/job/ipex_pytorch_cpu_vllm_benchmark_router-serving-GNR-weekly/160/" TargetMode="External"/><Relationship Id="rId7" Type="http://schemas.openxmlformats.org/officeDocument/2006/relationships/hyperlink" Target="https://inteltf-jenk.sh.intel.com/job/ipex_pytorch_cpu_vllm_benchmark_router-serving-GNR-weekly/156/" TargetMode="External"/><Relationship Id="rId2" Type="http://schemas.openxmlformats.org/officeDocument/2006/relationships/hyperlink" Target="https://inteltf-jenk.sh.intel.com/job/ipex_pytorch_cpu_vllm_benchmark_router-serving-GNR-weekly/157/" TargetMode="External"/><Relationship Id="rId16" Type="http://schemas.openxmlformats.org/officeDocument/2006/relationships/hyperlink" Target="https://inteltf-jenk.sh.intel.com/job/ipex_pytorch_cpu_vllm_benchmark_router-serving-GNR-weekly/156/" TargetMode="External"/><Relationship Id="rId29" Type="http://schemas.openxmlformats.org/officeDocument/2006/relationships/hyperlink" Target="https://inteltf-jenk.sh.intel.com/job/ipex_pytorch_cpu_vllm_benchmark_router-serving-GNR-weekly/152/" TargetMode="External"/><Relationship Id="rId1" Type="http://schemas.openxmlformats.org/officeDocument/2006/relationships/hyperlink" Target="https://jira.devtools.intel.com/browse/SGLANGT-496" TargetMode="External"/><Relationship Id="rId6" Type="http://schemas.openxmlformats.org/officeDocument/2006/relationships/hyperlink" Target="https://inteltf-jenk.sh.intel.com/job/ipex_pytorch_cpu_vllm_benchmark_router-serving-GNR-weekly/160/" TargetMode="External"/><Relationship Id="rId11" Type="http://schemas.openxmlformats.org/officeDocument/2006/relationships/hyperlink" Target="https://inteltf-jenk.sh.intel.com/job/ipex_pytorch_cpu_vllm_benchmark_router-serving-GNR-weekly/152/" TargetMode="External"/><Relationship Id="rId24" Type="http://schemas.openxmlformats.org/officeDocument/2006/relationships/hyperlink" Target="https://inteltf-jenk.sh.intel.com/job/ipex_pytorch_cpu_vllm_benchmark_router-serving-GNR-weekly/152/" TargetMode="External"/><Relationship Id="rId32" Type="http://schemas.openxmlformats.org/officeDocument/2006/relationships/hyperlink" Target="https://inteltf-jenk.sh.intel.com/job/ipex_pytorch_cpu_vllm_benchmark_router-serving-GNR-weekly/152/" TargetMode="External"/><Relationship Id="rId37" Type="http://schemas.openxmlformats.org/officeDocument/2006/relationships/hyperlink" Target="https://inteltf-jenk.sh.intel.com/job/ipex_pytorch_cpu_vllm_benchmark_router-serving-GNR-weekly/153/" TargetMode="External"/><Relationship Id="rId40" Type="http://schemas.openxmlformats.org/officeDocument/2006/relationships/hyperlink" Target="https://inteltf-jenk.sh.intel.com/job/ipex_pytorch_cpu_vllm_benchmark_router-serving-GNR-weekly/153/" TargetMode="External"/><Relationship Id="rId45" Type="http://schemas.openxmlformats.org/officeDocument/2006/relationships/comments" Target="../comments6.xml"/><Relationship Id="rId5" Type="http://schemas.openxmlformats.org/officeDocument/2006/relationships/hyperlink" Target="https://inteltf-jenk.sh.intel.com/job/ipex_pytorch_cpu_vllm_benchmark_router-serving-GNR-weekly/160/" TargetMode="External"/><Relationship Id="rId15" Type="http://schemas.openxmlformats.org/officeDocument/2006/relationships/hyperlink" Target="https://inteltf-jenk.sh.intel.com/job/ipex_pytorch_cpu_vllm_benchmark_router-serving-GNR-weekly/166/" TargetMode="External"/><Relationship Id="rId23" Type="http://schemas.openxmlformats.org/officeDocument/2006/relationships/hyperlink" Target="https://inteltf-jenk.sh.intel.com/job/ipex_pytorch_cpu_vllm_benchmark_router-serving-GNR-weekly/152/" TargetMode="External"/><Relationship Id="rId28" Type="http://schemas.openxmlformats.org/officeDocument/2006/relationships/hyperlink" Target="https://inteltf-jenk.sh.intel.com/job/ipex_pytorch_cpu_vllm_benchmark_router-serving-GNR-weekly/152/" TargetMode="External"/><Relationship Id="rId36" Type="http://schemas.openxmlformats.org/officeDocument/2006/relationships/hyperlink" Target="https://inteltf-jenk.sh.intel.com/job/ipex_pytorch_cpu_vllm_benchmark_router-serving-GNR-weekly/153/" TargetMode="External"/><Relationship Id="rId10" Type="http://schemas.openxmlformats.org/officeDocument/2006/relationships/hyperlink" Target="https://inteltf-jenk.sh.intel.com/job/ipex_pytorch_cpu_vllm_benchmark_router-serving-GNR-weekly/160/" TargetMode="External"/><Relationship Id="rId19" Type="http://schemas.openxmlformats.org/officeDocument/2006/relationships/hyperlink" Target="https://inteltf-jenk.sh.intel.com/job/ipex_pytorch_cpu_vllm_benchmark_router-serving-GNR-weekly/135/" TargetMode="External"/><Relationship Id="rId31" Type="http://schemas.openxmlformats.org/officeDocument/2006/relationships/hyperlink" Target="https://inteltf-jenk.sh.intel.com/job/ipex_pytorch_cpu_vllm_benchmark_router-serving-GNR-weekly/152/" TargetMode="External"/><Relationship Id="rId44" Type="http://schemas.openxmlformats.org/officeDocument/2006/relationships/vmlDrawing" Target="../drawings/vmlDrawing6.vml"/><Relationship Id="rId4" Type="http://schemas.openxmlformats.org/officeDocument/2006/relationships/hyperlink" Target="https://inteltf-jenk.sh.intel.com/job/ipex_pytorch_cpu_vllm_benchmark_router-serving-GNR-weekly/158/" TargetMode="External"/><Relationship Id="rId9" Type="http://schemas.openxmlformats.org/officeDocument/2006/relationships/hyperlink" Target="https://inteltf-jenk.sh.intel.com/job/ipex_pytorch_cpu_vllm_benchmark_router-serving-GNR-weekly/156/" TargetMode="External"/><Relationship Id="rId14" Type="http://schemas.openxmlformats.org/officeDocument/2006/relationships/hyperlink" Target="https://inteltf-jenk.sh.intel.com/job/ipex_pytorch_cpu_vllm_benchmark_router-serving-GNR-weekly/152/" TargetMode="External"/><Relationship Id="rId22" Type="http://schemas.openxmlformats.org/officeDocument/2006/relationships/hyperlink" Target="https://inteltf-jenk.sh.intel.com/job/ipex_pytorch_cpu_vllm_benchmark_router-serving-GNR-weekly/152/" TargetMode="External"/><Relationship Id="rId27" Type="http://schemas.openxmlformats.org/officeDocument/2006/relationships/hyperlink" Target="https://inteltf-jenk.sh.intel.com/job/ipex_pytorch_cpu_vllm_benchmark_router-serving-GNR-weekly/152/" TargetMode="External"/><Relationship Id="rId30" Type="http://schemas.openxmlformats.org/officeDocument/2006/relationships/hyperlink" Target="https://inteltf-jenk.sh.intel.com/job/ipex_pytorch_cpu_vllm_benchmark_router-serving-GNR-weekly/152/" TargetMode="External"/><Relationship Id="rId35" Type="http://schemas.openxmlformats.org/officeDocument/2006/relationships/hyperlink" Target="https://inteltf-jenk.sh.intel.com/job/ipex_pytorch_cpu_vllm_benchmark_router-serving-GNR-weekly/153/" TargetMode="External"/><Relationship Id="rId43" Type="http://schemas.openxmlformats.org/officeDocument/2006/relationships/hyperlink" Target="https://inteltf-jenk.sh.intel.com/job/ipex_pytorch_cpu_vllm_benchmark_router-serving-GNR-weekly/165/" TargetMode="External"/><Relationship Id="rId8" Type="http://schemas.openxmlformats.org/officeDocument/2006/relationships/hyperlink" Target="https://inteltf-jenk.sh.intel.com/job/ipex_pytorch_cpu_vllm_benchmark_router-serving-GNR-weekly/156/" TargetMode="External"/><Relationship Id="rId3" Type="http://schemas.openxmlformats.org/officeDocument/2006/relationships/hyperlink" Target="https://inteltf-jenk.sh.intel.com/job/ipex_pytorch_cpu_vllm_benchmark_router-serving-GNR-weekly/154/" TargetMode="External"/><Relationship Id="rId12" Type="http://schemas.openxmlformats.org/officeDocument/2006/relationships/hyperlink" Target="https://inteltf-jenk.sh.intel.com/job/ipex_pytorch_cpu_vllm_benchmark_router-serving-GNR-weekly/152/" TargetMode="External"/><Relationship Id="rId17" Type="http://schemas.openxmlformats.org/officeDocument/2006/relationships/hyperlink" Target="https://inteltf-jenk.sh.intel.com/job/ipex_pytorch_cpu_vllm_benchmark_router-serving-GNR-weekly/163/" TargetMode="External"/><Relationship Id="rId25" Type="http://schemas.openxmlformats.org/officeDocument/2006/relationships/hyperlink" Target="https://inteltf-jenk.sh.intel.com/job/ipex_pytorch_cpu_vllm_benchmark_router-serving-GNR-weekly/152/" TargetMode="External"/><Relationship Id="rId33" Type="http://schemas.openxmlformats.org/officeDocument/2006/relationships/hyperlink" Target="https://inteltf-jenk.sh.intel.com/job/ipex_pytorch_cpu_vllm_benchmark_router-serving-GNR-weekly/153/" TargetMode="External"/><Relationship Id="rId38" Type="http://schemas.openxmlformats.org/officeDocument/2006/relationships/hyperlink" Target="https://inteltf-jenk.sh.intel.com/job/ipex_pytorch_cpu_vllm_benchmark_router-serving-GNR-weekly/153/" TargetMode="External"/><Relationship Id="rId46" Type="http://schemas.microsoft.com/office/2017/10/relationships/threadedComment" Target="../threadedComments/threadedComment6.xml"/><Relationship Id="rId20" Type="http://schemas.openxmlformats.org/officeDocument/2006/relationships/hyperlink" Target="https://inteltf-jenk.sh.intel.com/job/ipex_pytorch_cpu_vllm_benchmark_router-serving-GNR-weekly/152/" TargetMode="External"/><Relationship Id="rId41" Type="http://schemas.openxmlformats.org/officeDocument/2006/relationships/hyperlink" Target="https://inteltf-jenk.sh.intel.com/job/ipex_pytorch_cpu_vllm_benchmark_router-serving-GNR-weekly/160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inteltf-jenk.sh.intel.com/job/ipex_pytorch_cpu_vllm_benchmark_router-serving-GNR-weekly-automated/29/artifact/" TargetMode="External"/><Relationship Id="rId18" Type="http://schemas.openxmlformats.org/officeDocument/2006/relationships/hyperlink" Target="https://inteltf-jenk.sh.intel.com/job/ipex_pytorch_cpu_vllm_benchmark_router-serving-GNR-weekly-automated/29/artifact/" TargetMode="External"/><Relationship Id="rId26" Type="http://schemas.openxmlformats.org/officeDocument/2006/relationships/hyperlink" Target="https://inteltf-jenk.sh.intel.com/job/ipex_pytorch_cpu_vllm_benchmark_router-serving-GNR-weekly-automated/29/artifact/" TargetMode="External"/><Relationship Id="rId39" Type="http://schemas.openxmlformats.org/officeDocument/2006/relationships/hyperlink" Target="https://inteltf-jenk.sh.intel.com/job/ipex_pytorch_cpu_vllm_benchmark_router-serving-GNR-weekly-automated/29/artifact/" TargetMode="External"/><Relationship Id="rId21" Type="http://schemas.openxmlformats.org/officeDocument/2006/relationships/hyperlink" Target="https://inteltf-jenk.sh.intel.com/job/ipex_pytorch_cpu_vllm_benchmark_router-serving-GNR-weekly-automated/29/artifact/" TargetMode="External"/><Relationship Id="rId34" Type="http://schemas.openxmlformats.org/officeDocument/2006/relationships/hyperlink" Target="https://inteltf-jenk.sh.intel.com/job/ipex_pytorch_cpu_vllm_benchmark_router-serving-GNR-weekly-automated/29/artifact/" TargetMode="External"/><Relationship Id="rId42" Type="http://schemas.openxmlformats.org/officeDocument/2006/relationships/hyperlink" Target="https://inteltf-jenk.sh.intel.com/job/ipex_pytorch_cpu_vllm_benchmark_router-serving-GNR-weekly/199/artifact/logs/" TargetMode="External"/><Relationship Id="rId7" Type="http://schemas.openxmlformats.org/officeDocument/2006/relationships/hyperlink" Target="https://inteltf-jenk.sh.intel.com/job/ipex_pytorch_cpu_vllm_benchmark_router-serving-GNR-weekly-automated/29/artifact/" TargetMode="External"/><Relationship Id="rId2" Type="http://schemas.openxmlformats.org/officeDocument/2006/relationships/hyperlink" Target="https://inteltf-jenk.sh.intel.com/job/ipex_pytorch_cpu_vllm_benchmark_router-serving-GNR-weekly/196/console" TargetMode="External"/><Relationship Id="rId16" Type="http://schemas.openxmlformats.org/officeDocument/2006/relationships/hyperlink" Target="https://inteltf-jenk.sh.intel.com/job/ipex_pytorch_cpu_vllm_benchmark_router-serving-GNR-weekly-automated/29/artifact/" TargetMode="External"/><Relationship Id="rId20" Type="http://schemas.openxmlformats.org/officeDocument/2006/relationships/hyperlink" Target="https://inteltf-jenk.sh.intel.com/job/ipex_pytorch_cpu_vllm_benchmark_router-serving-GNR-weekly-automated/29/artifact/" TargetMode="External"/><Relationship Id="rId29" Type="http://schemas.openxmlformats.org/officeDocument/2006/relationships/hyperlink" Target="https://inteltf-jenk.sh.intel.com/job/ipex_pytorch_cpu_vllm_benchmark_router-serving-GNR-weekly-automated/29/artifact/" TargetMode="External"/><Relationship Id="rId41" Type="http://schemas.openxmlformats.org/officeDocument/2006/relationships/hyperlink" Target="https://inteltf-jenk.sh.intel.com/job/ipex_pytorch_cpu_vllm_benchmark_router-serving-GNR-weekly/200/" TargetMode="External"/><Relationship Id="rId1" Type="http://schemas.openxmlformats.org/officeDocument/2006/relationships/hyperlink" Target="https://inteltf-jenk.sh.intel.com/job/ipex_pytorch_cpu_vllm_benchmark_router-serving-GNR-weekly-automated/29/artifact/" TargetMode="External"/><Relationship Id="rId6" Type="http://schemas.openxmlformats.org/officeDocument/2006/relationships/hyperlink" Target="https://inteltf-jenk.sh.intel.com/job/ipex_pytorch_cpu_vllm_benchmark_router-serving-GNR-weekly-automated/29/artifact/" TargetMode="External"/><Relationship Id="rId11" Type="http://schemas.openxmlformats.org/officeDocument/2006/relationships/hyperlink" Target="https://inteltf-jenk.sh.intel.com/job/ipex_pytorch_cpu_vllm_benchmark_router-serving-GNR-weekly-automated/29/artifact/" TargetMode="External"/><Relationship Id="rId24" Type="http://schemas.openxmlformats.org/officeDocument/2006/relationships/hyperlink" Target="https://inteltf-jenk.sh.intel.com/job/ipex_pytorch_cpu_vllm_benchmark_router-serving-GNR-weekly-automated/29/artifact/" TargetMode="External"/><Relationship Id="rId32" Type="http://schemas.openxmlformats.org/officeDocument/2006/relationships/hyperlink" Target="https://inteltf-jenk.sh.intel.com/job/ipex_pytorch_cpu_vllm_benchmark_router-serving-GNR-weekly-automated/29/artifact/" TargetMode="External"/><Relationship Id="rId37" Type="http://schemas.openxmlformats.org/officeDocument/2006/relationships/hyperlink" Target="https://inteltf-jenk.sh.intel.com/job/ipex_pytorch_cpu_vllm_benchmark_router-serving-GNR-weekly-automated/29/artifact/" TargetMode="External"/><Relationship Id="rId40" Type="http://schemas.openxmlformats.org/officeDocument/2006/relationships/hyperlink" Target="https://inteltf-jenk.sh.intel.com/job/ipex_pytorch_cpu_vllm_benchmark_router-serving-GNR-weekly/198/console" TargetMode="External"/><Relationship Id="rId5" Type="http://schemas.openxmlformats.org/officeDocument/2006/relationships/hyperlink" Target="https://inteltf-jenk.sh.intel.com/job/ipex_pytorch_cpu_vllm_benchmark_router-serving-GNR-weekly-automated/29/artifact/" TargetMode="External"/><Relationship Id="rId15" Type="http://schemas.openxmlformats.org/officeDocument/2006/relationships/hyperlink" Target="https://inteltf-jenk.sh.intel.com/job/ipex_pytorch_cpu_vllm_benchmark_router-serving-GNR-weekly-automated/29/artifact/" TargetMode="External"/><Relationship Id="rId23" Type="http://schemas.openxmlformats.org/officeDocument/2006/relationships/hyperlink" Target="https://inteltf-jenk.sh.intel.com/job/ipex_pytorch_cpu_vllm_benchmark_router-serving-GNR-weekly-automated/29/artifact/" TargetMode="External"/><Relationship Id="rId28" Type="http://schemas.openxmlformats.org/officeDocument/2006/relationships/hyperlink" Target="https://inteltf-jenk.sh.intel.com/job/ipex_pytorch_cpu_vllm_benchmark_router-serving-GNR-weekly-automated/29/artifact/" TargetMode="External"/><Relationship Id="rId36" Type="http://schemas.openxmlformats.org/officeDocument/2006/relationships/hyperlink" Target="https://inteltf-jenk.sh.intel.com/job/ipex_pytorch_cpu_vllm_benchmark_router-serving-GNR-weekly-automated/29/artifact/" TargetMode="External"/><Relationship Id="rId10" Type="http://schemas.openxmlformats.org/officeDocument/2006/relationships/hyperlink" Target="https://inteltf-jenk.sh.intel.com/job/ipex_pytorch_cpu_vllm_benchmark_router-serving-GNR-weekly-automated/29/artifact/" TargetMode="External"/><Relationship Id="rId19" Type="http://schemas.openxmlformats.org/officeDocument/2006/relationships/hyperlink" Target="https://inteltf-jenk.sh.intel.com/job/ipex_pytorch_cpu_vllm_benchmark_router-serving-GNR-weekly-automated/29/artifact/" TargetMode="External"/><Relationship Id="rId31" Type="http://schemas.openxmlformats.org/officeDocument/2006/relationships/hyperlink" Target="https://inteltf-jenk.sh.intel.com/job/ipex_pytorch_cpu_vllm_benchmark_router-serving-GNR-weekly-automated/29/artifact/" TargetMode="External"/><Relationship Id="rId44" Type="http://schemas.openxmlformats.org/officeDocument/2006/relationships/hyperlink" Target="https://inteltf-jenk.sh.intel.com/job/ipex_pytorch_cpu_vllm_benchmark_router-serving-GNR-weekly/190/" TargetMode="External"/><Relationship Id="rId4" Type="http://schemas.openxmlformats.org/officeDocument/2006/relationships/hyperlink" Target="https://inteltf-jenk.sh.intel.com/job/ipex_pytorch_cpu_vllm_benchmark_router-serving-GNR-weekly-automated/29/artifact/" TargetMode="External"/><Relationship Id="rId9" Type="http://schemas.openxmlformats.org/officeDocument/2006/relationships/hyperlink" Target="https://inteltf-jenk.sh.intel.com/job/ipex_pytorch_cpu_vllm_benchmark_router-serving-GNR-weekly-automated/29/artifact/" TargetMode="External"/><Relationship Id="rId14" Type="http://schemas.openxmlformats.org/officeDocument/2006/relationships/hyperlink" Target="https://inteltf-jenk.sh.intel.com/job/ipex_pytorch_cpu_vllm_benchmark_router-serving-GNR-weekly-automated/29/artifact/" TargetMode="External"/><Relationship Id="rId22" Type="http://schemas.openxmlformats.org/officeDocument/2006/relationships/hyperlink" Target="https://inteltf-jenk.sh.intel.com/job/ipex_pytorch_cpu_vllm_benchmark_router-serving-GNR-weekly-automated/29/artifact/" TargetMode="External"/><Relationship Id="rId27" Type="http://schemas.openxmlformats.org/officeDocument/2006/relationships/hyperlink" Target="https://inteltf-jenk.sh.intel.com/job/ipex_pytorch_cpu_vllm_benchmark_router-serving-GNR-weekly-automated/29/artifact/" TargetMode="External"/><Relationship Id="rId30" Type="http://schemas.openxmlformats.org/officeDocument/2006/relationships/hyperlink" Target="https://inteltf-jenk.sh.intel.com/job/ipex_pytorch_cpu_vllm_benchmark_router-serving-GNR-weekly-automated/29/artifact/" TargetMode="External"/><Relationship Id="rId35" Type="http://schemas.openxmlformats.org/officeDocument/2006/relationships/hyperlink" Target="https://inteltf-jenk.sh.intel.com/job/ipex_pytorch_cpu_vllm_benchmark_router-serving-GNR-weekly-automated/29/artifact/" TargetMode="External"/><Relationship Id="rId43" Type="http://schemas.openxmlformats.org/officeDocument/2006/relationships/hyperlink" Target="https://inteltf-jenk.sh.intel.com/job/ipex_pytorch_cpu_vllm_benchmark_router-serving-GNR-weekly/190/" TargetMode="External"/><Relationship Id="rId8" Type="http://schemas.openxmlformats.org/officeDocument/2006/relationships/hyperlink" Target="https://inteltf-jenk.sh.intel.com/job/ipex_pytorch_cpu_vllm_benchmark_router-serving-GNR-weekly-automated/29/artifact/" TargetMode="External"/><Relationship Id="rId3" Type="http://schemas.openxmlformats.org/officeDocument/2006/relationships/hyperlink" Target="https://inteltf-jenk.sh.intel.com/job/ipex_pytorch_cpu_vllm_benchmark_router-serving-GNR-weekly/197/console" TargetMode="External"/><Relationship Id="rId12" Type="http://schemas.openxmlformats.org/officeDocument/2006/relationships/hyperlink" Target="https://inteltf-jenk.sh.intel.com/job/ipex_pytorch_cpu_vllm_benchmark_router-serving-GNR-weekly-automated/29/artifact/" TargetMode="External"/><Relationship Id="rId17" Type="http://schemas.openxmlformats.org/officeDocument/2006/relationships/hyperlink" Target="https://inteltf-jenk.sh.intel.com/job/ipex_pytorch_cpu_vllm_benchmark_router-serving-GNR-weekly-automated/29/artifact/" TargetMode="External"/><Relationship Id="rId25" Type="http://schemas.openxmlformats.org/officeDocument/2006/relationships/hyperlink" Target="https://inteltf-jenk.sh.intel.com/job/ipex_pytorch_cpu_vllm_benchmark_router-serving-GNR-weekly-automated/29/artifact/" TargetMode="External"/><Relationship Id="rId33" Type="http://schemas.openxmlformats.org/officeDocument/2006/relationships/hyperlink" Target="https://inteltf-jenk.sh.intel.com/job/ipex_pytorch_cpu_vllm_benchmark_router-serving-GNR-weekly-automated/29/artifact/" TargetMode="External"/><Relationship Id="rId38" Type="http://schemas.openxmlformats.org/officeDocument/2006/relationships/hyperlink" Target="https://inteltf-jenk.sh.intel.com/job/ipex_pytorch_cpu_vllm_benchmark_router-serving-GNR-weekly-automated/29/artifact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job/ipex_pytorch_cpu_vllm_benchmark_router-serving-GNR-weekly/66/artifact/logs/" TargetMode="External"/><Relationship Id="rId13" Type="http://schemas.openxmlformats.org/officeDocument/2006/relationships/hyperlink" Target="https://inteltf-jenk.sh.intel.com/view/IPEX-CPU-Regular/job/ipex_pytorch_cpu_vllm_benchmark_router-serving-GNR-weekly-backup/46/artifact/logs/" TargetMode="External"/><Relationship Id="rId18" Type="http://schemas.openxmlformats.org/officeDocument/2006/relationships/hyperlink" Target="https://jira.devtools.intel.com/browse/VLLMZ-948" TargetMode="External"/><Relationship Id="rId26" Type="http://schemas.openxmlformats.org/officeDocument/2006/relationships/hyperlink" Target="https://jira.devtools.intel.com/browse/VLLMZ-955" TargetMode="External"/><Relationship Id="rId3" Type="http://schemas.openxmlformats.org/officeDocument/2006/relationships/hyperlink" Target="https://inteltf-jenk.sh.intel.com/job/ipex_pytorch_cpu_vllm_benchmark_router-serving-GNR-weekly/91/artifact/logs/" TargetMode="External"/><Relationship Id="rId21" Type="http://schemas.openxmlformats.org/officeDocument/2006/relationships/hyperlink" Target="https://jira.devtools.intel.com/browse/VLLMZ-950" TargetMode="External"/><Relationship Id="rId7" Type="http://schemas.openxmlformats.org/officeDocument/2006/relationships/hyperlink" Target="https://inteltf-jenk.sh.intel.com/job/ipex_pytorch_cpu_vllm_benchmark_router-serving-GNR-weekly/66/artifact/logs/" TargetMode="External"/><Relationship Id="rId12" Type="http://schemas.openxmlformats.org/officeDocument/2006/relationships/hyperlink" Target="https://inteltf-jenk.sh.intel.com/view/IPEX-CPU-Regular/job/ipex_pytorch_cpu_vllm_benchmark_router-serving-GNR-weekly-backup/45/console" TargetMode="External"/><Relationship Id="rId17" Type="http://schemas.openxmlformats.org/officeDocument/2006/relationships/hyperlink" Target="https://jira.devtools.intel.com/browse/VLLMZ-949" TargetMode="External"/><Relationship Id="rId25" Type="http://schemas.openxmlformats.org/officeDocument/2006/relationships/hyperlink" Target="https://jira.devtools.intel.com/browse/VLLMZ-954" TargetMode="External"/><Relationship Id="rId2" Type="http://schemas.openxmlformats.org/officeDocument/2006/relationships/hyperlink" Target="https://inteltf-jenk.sh.intel.com/job/ipex_pytorch_cpu_vllm_benchmark_router-serving-GNR-weekly/91/artifact/logs/" TargetMode="External"/><Relationship Id="rId16" Type="http://schemas.openxmlformats.org/officeDocument/2006/relationships/hyperlink" Target="https://jira.devtools.intel.com/browse/VLLMZ-948" TargetMode="External"/><Relationship Id="rId20" Type="http://schemas.openxmlformats.org/officeDocument/2006/relationships/hyperlink" Target="https://jira.devtools.intel.com/browse/VLLMZ-951" TargetMode="External"/><Relationship Id="rId29" Type="http://schemas.openxmlformats.org/officeDocument/2006/relationships/vmlDrawing" Target="../drawings/vmlDrawing7.vml"/><Relationship Id="rId1" Type="http://schemas.openxmlformats.org/officeDocument/2006/relationships/hyperlink" Target="https://jira.devtools.intel.com/browse/SGLANGT-496" TargetMode="External"/><Relationship Id="rId6" Type="http://schemas.openxmlformats.org/officeDocument/2006/relationships/hyperlink" Target="https://inteltf-jenk.sh.intel.com/job/ipex_pytorch_cpu_vllm_benchmark_router-serving-GNR-weekly/69/" TargetMode="External"/><Relationship Id="rId11" Type="http://schemas.openxmlformats.org/officeDocument/2006/relationships/hyperlink" Target="https://inteltf-jenk.sh.intel.com/job/ipex_pytorch_cpu_vllm_benchmark_router-serving-GNR-weekly/76/console" TargetMode="External"/><Relationship Id="rId24" Type="http://schemas.openxmlformats.org/officeDocument/2006/relationships/hyperlink" Target="https://jira.devtools.intel.com/browse/VLLMZ-953" TargetMode="External"/><Relationship Id="rId5" Type="http://schemas.openxmlformats.org/officeDocument/2006/relationships/hyperlink" Target="https://inteltf-jenk.sh.intel.com/job/ipex_pytorch_cpu_vllm_benchmark_router-serving-GNR-weekly/74/consoleText" TargetMode="External"/><Relationship Id="rId15" Type="http://schemas.openxmlformats.org/officeDocument/2006/relationships/hyperlink" Target="https://inteltf-jenk.sh.intel.com/view/IPEX-CPU-Regular/job/ipex_pytorch_cpu_vllm_benchmark_router-serving-GNR-weekly-backup/46/artifact/logs/" TargetMode="External"/><Relationship Id="rId23" Type="http://schemas.openxmlformats.org/officeDocument/2006/relationships/hyperlink" Target="https://jira.devtools.intel.com/browse/VLLMZ-952" TargetMode="External"/><Relationship Id="rId28" Type="http://schemas.openxmlformats.org/officeDocument/2006/relationships/hyperlink" Target="https://jira.devtools.intel.com/browse/VLLMZ-957" TargetMode="External"/><Relationship Id="rId10" Type="http://schemas.openxmlformats.org/officeDocument/2006/relationships/hyperlink" Target="https://inteltf-jenk.sh.intel.com/job/ipex_pytorch_cpu_vllm_benchmark_router-serving-GNR-weekly/74/consoleText" TargetMode="External"/><Relationship Id="rId19" Type="http://schemas.openxmlformats.org/officeDocument/2006/relationships/hyperlink" Target="https://jira.devtools.intel.com/browse/VLLMZ-951" TargetMode="External"/><Relationship Id="rId31" Type="http://schemas.microsoft.com/office/2017/10/relationships/threadedComment" Target="../threadedComments/threadedComment7.xml"/><Relationship Id="rId4" Type="http://schemas.openxmlformats.org/officeDocument/2006/relationships/hyperlink" Target="https://inteltf-jenk.sh.intel.com/job/ipex_pytorch_cpu_vllm_benchmark_router-serving-GNR-weekly/74/consoleText" TargetMode="External"/><Relationship Id="rId9" Type="http://schemas.openxmlformats.org/officeDocument/2006/relationships/hyperlink" Target="https://inteltf-jenk.sh.intel.com/job/ipex_pytorch_cpu_vllm_benchmark_router-serving-GNR-weekly/66/artifact/logs/" TargetMode="External"/><Relationship Id="rId14" Type="http://schemas.openxmlformats.org/officeDocument/2006/relationships/hyperlink" Target="https://inteltf-jenk.sh.intel.com/view/IPEX-CPU-Regular/job/ipex_pytorch_cpu_vllm_benchmark_router-serving-GNR-weekly-backup/46/artifact/logs/" TargetMode="External"/><Relationship Id="rId22" Type="http://schemas.openxmlformats.org/officeDocument/2006/relationships/hyperlink" Target="https://jira.devtools.intel.com/browse/VLLMZ-952" TargetMode="External"/><Relationship Id="rId27" Type="http://schemas.openxmlformats.org/officeDocument/2006/relationships/hyperlink" Target="https://jira.devtools.intel.com/browse/VLLMZ-956" TargetMode="External"/><Relationship Id="rId30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nteltf-jenk.sh.intel.com/job/ipex_pytorch_cpu_vllm_benchmark_router-serving-GNR-weekly/187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tf-jenk.sh.intel.com/job/ipex_pytorch_cpu_vllm_accuracy/33/" TargetMode="External"/><Relationship Id="rId13" Type="http://schemas.openxmlformats.org/officeDocument/2006/relationships/hyperlink" Target="https://inteltf-jenk.sh.intel.com/job/ipex_pytorch_cpu_vllm_accuracy/34" TargetMode="External"/><Relationship Id="rId18" Type="http://schemas.openxmlformats.org/officeDocument/2006/relationships/hyperlink" Target="https://inteltf-jenk.sh.intel.com/job/ipex_pytorch_cpu_vllm_accuracy/39" TargetMode="External"/><Relationship Id="rId26" Type="http://schemas.openxmlformats.org/officeDocument/2006/relationships/hyperlink" Target="https://inteltf-jenk.sh.intel.com/job/ipex_pytorch_cpu_vllm_accuracy/43/artifact/logs/meta-llama-Llama-4-Scout-17B-16E-Instruct_accuracy_cpu_BF16_dummy_Length-1024-1024_TP2-2_Prompt-16_BS-_Request-inf_0088567cee85c219.log" TargetMode="External"/><Relationship Id="rId3" Type="http://schemas.openxmlformats.org/officeDocument/2006/relationships/hyperlink" Target="https://inteltf-jenk.sh.intel.com/job/ipex_pytorch_cpu_vllm_accuracy/33/" TargetMode="External"/><Relationship Id="rId21" Type="http://schemas.openxmlformats.org/officeDocument/2006/relationships/hyperlink" Target="https://inteltf-jenk.sh.intel.com/job/ipex_pytorch_cpu_vllm_accuracy/39/artifact/logs/meta-llama-Llama-4-Scout-17B-16E-Instruct_accuracy_cpu_BF16_dummy_Length-1024-1024_TP2DP2-1_Prompt-16_BS-_Request-inf_0088567cee85c219.log" TargetMode="External"/><Relationship Id="rId7" Type="http://schemas.openxmlformats.org/officeDocument/2006/relationships/hyperlink" Target="https://inteltf-jenk.sh.intel.com/job/ipex_pytorch_cpu_vllm_accuracy/33/" TargetMode="External"/><Relationship Id="rId12" Type="http://schemas.openxmlformats.org/officeDocument/2006/relationships/hyperlink" Target="https://inteltf-jenk.sh.intel.com/job/ipex_pytorch_cpu_vllm_accuracy/34" TargetMode="External"/><Relationship Id="rId17" Type="http://schemas.openxmlformats.org/officeDocument/2006/relationships/hyperlink" Target="https://inteltf-jenk.sh.intel.com/job/ipex_pytorch_cpu_vllm_accuracy/38/" TargetMode="External"/><Relationship Id="rId25" Type="http://schemas.openxmlformats.org/officeDocument/2006/relationships/hyperlink" Target="https://inteltf-jenk.sh.intel.com/job/ipex_pytorch_cpu_vllm_accuracy/44/" TargetMode="External"/><Relationship Id="rId2" Type="http://schemas.openxmlformats.org/officeDocument/2006/relationships/hyperlink" Target="https://inteltf-jenk.sh.intel.com/job/ipex_pytorch_cpu_vllm_accuracy/33/" TargetMode="External"/><Relationship Id="rId16" Type="http://schemas.openxmlformats.org/officeDocument/2006/relationships/hyperlink" Target="https://inteltf-jenk.sh.intel.com/job/ipex_pytorch_cpu_vllm_accuracy/37" TargetMode="External"/><Relationship Id="rId20" Type="http://schemas.openxmlformats.org/officeDocument/2006/relationships/hyperlink" Target="https://inteltf-jenk.sh.intel.com/job/ipex_pytorch_cpu_vllm_accuracy/39/artifact/logs/openai-whisper-large-v3_accuracy_cpu_BF16_dummy_Length-1024-1024_DP6-6_Prompt-16_BS-_Request-inf_0088567cee85c219.log" TargetMode="External"/><Relationship Id="rId1" Type="http://schemas.openxmlformats.org/officeDocument/2006/relationships/hyperlink" Target="https://inteltf-jenk.sh.intel.com/job/ipex_pytorch_cpu_vllm_accuracy/34/" TargetMode="External"/><Relationship Id="rId6" Type="http://schemas.openxmlformats.org/officeDocument/2006/relationships/hyperlink" Target="https://inteltf-jenk.sh.intel.com/job/ipex_pytorch_cpu_vllm_accuracy/33/" TargetMode="External"/><Relationship Id="rId11" Type="http://schemas.openxmlformats.org/officeDocument/2006/relationships/hyperlink" Target="https://inteltf-jenk.sh.intel.com/job/ipex_pytorch_cpu_vllm_accuracy/34/" TargetMode="External"/><Relationship Id="rId24" Type="http://schemas.openxmlformats.org/officeDocument/2006/relationships/hyperlink" Target="https://inteltf-jenk.sh.intel.com/job/ipex_pytorch_cpu_vllm_accuracy/39/artifact/logs/server_meta-llama-Llama-4-Scout-17B-16E-Instruct_accuracy_cpu_BF16_dummy_Length-1024-1024_TP2DP2-1_Prompt-16_BS-_Request-inf_0088567cee85c219.log" TargetMode="External"/><Relationship Id="rId5" Type="http://schemas.openxmlformats.org/officeDocument/2006/relationships/hyperlink" Target="https://inteltf-jenk.sh.intel.com/job/ipex_pytorch_cpu_vllm_accuracy/33/" TargetMode="External"/><Relationship Id="rId15" Type="http://schemas.openxmlformats.org/officeDocument/2006/relationships/hyperlink" Target="https://inteltf-jenk.sh.intel.com/job/ipex_pytorch_cpu_vllm_accuracy/34" TargetMode="External"/><Relationship Id="rId23" Type="http://schemas.openxmlformats.org/officeDocument/2006/relationships/hyperlink" Target="https://inteltf-jenk.sh.intel.com/job/ipex_pytorch_cpu_vllm_accuracy/39/artifact/logs/server_deepseek-ai-DeepSeek-OCR_accuracy_cpu_BF16_dummy_Length-1024-1024_DP6-6_Prompt-16_BS-_Request-inf_0088567cee85c219.log" TargetMode="External"/><Relationship Id="rId10" Type="http://schemas.openxmlformats.org/officeDocument/2006/relationships/hyperlink" Target="https://inteltf-jenk.sh.intel.com/job/ipex_pytorch_cpu_vllm_accuracy/39" TargetMode="External"/><Relationship Id="rId19" Type="http://schemas.openxmlformats.org/officeDocument/2006/relationships/hyperlink" Target="https://inteltf-jenk.sh.intel.com/job/ipex_pytorch_cpu_vllm_accuracy/39" TargetMode="External"/><Relationship Id="rId4" Type="http://schemas.openxmlformats.org/officeDocument/2006/relationships/hyperlink" Target="https://inteltf-jenk.sh.intel.com/job/ipex_pytorch_cpu_vllm_accuracy/33/" TargetMode="External"/><Relationship Id="rId9" Type="http://schemas.openxmlformats.org/officeDocument/2006/relationships/hyperlink" Target="https://inteltf-jenk.sh.intel.com/job/ipex_pytorch_cpu_vllm_accuracy/34/" TargetMode="External"/><Relationship Id="rId14" Type="http://schemas.openxmlformats.org/officeDocument/2006/relationships/hyperlink" Target="https://inteltf-jenk.sh.intel.com/job/ipex_pytorch_cpu_vllm_accuracy/34" TargetMode="External"/><Relationship Id="rId22" Type="http://schemas.openxmlformats.org/officeDocument/2006/relationships/hyperlink" Target="https://inteltf-jenk.sh.intel.com/job/ipex_pytorch_cpu_vllm_accuracy/39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F476-734B-4EF0-818B-CEB477A884EE}">
  <dimension ref="A1:AH49"/>
  <sheetViews>
    <sheetView topLeftCell="J32" workbookViewId="0">
      <selection activeCell="U12" sqref="U12:U41"/>
    </sheetView>
  </sheetViews>
  <sheetFormatPr defaultRowHeight="15.95"/>
  <cols>
    <col min="1" max="1" width="36.75" customWidth="1"/>
    <col min="2" max="2" width="19.25" customWidth="1"/>
    <col min="3" max="3" width="7.25" customWidth="1"/>
    <col min="4" max="5" width="8.75" customWidth="1"/>
    <col min="6" max="6" width="10.5" customWidth="1"/>
    <col min="7" max="8" width="8.75" customWidth="1"/>
    <col min="9" max="10" width="14" customWidth="1"/>
    <col min="11" max="11" width="8.75" customWidth="1"/>
    <col min="12" max="12" width="10.5" customWidth="1"/>
    <col min="13" max="14" width="8.75" customWidth="1"/>
    <col min="15" max="16" width="14" customWidth="1"/>
    <col min="17" max="17" width="8.75" customWidth="1"/>
    <col min="18" max="18" width="10.5" customWidth="1"/>
    <col min="19" max="20" width="8.75" customWidth="1"/>
    <col min="21" max="22" width="14" customWidth="1"/>
    <col min="23" max="24" width="12.25" customWidth="1"/>
    <col min="25" max="25" width="39.375" customWidth="1"/>
    <col min="26" max="26" width="26.25" customWidth="1"/>
  </cols>
  <sheetData>
    <row r="1" spans="1:34" ht="15.75" customHeight="1">
      <c r="A1" s="250" t="s">
        <v>0</v>
      </c>
      <c r="B1" s="250"/>
      <c r="C1" s="250"/>
      <c r="D1" s="250"/>
      <c r="E1" s="251" t="s">
        <v>1</v>
      </c>
      <c r="F1" s="287"/>
      <c r="G1" s="287"/>
      <c r="H1" s="287"/>
      <c r="I1" s="287"/>
      <c r="J1" s="287"/>
      <c r="K1" s="252" t="s">
        <v>2</v>
      </c>
      <c r="L1" s="287"/>
      <c r="M1" s="287"/>
      <c r="N1" s="287"/>
      <c r="O1" s="287"/>
      <c r="P1" s="287"/>
      <c r="Q1" s="253" t="s">
        <v>3</v>
      </c>
      <c r="R1" s="287"/>
      <c r="S1" s="287"/>
      <c r="T1" s="287"/>
      <c r="U1" s="287"/>
      <c r="V1" s="287"/>
      <c r="W1" s="254" t="s">
        <v>4</v>
      </c>
      <c r="X1" s="287"/>
      <c r="Y1" s="249" t="s">
        <v>5</v>
      </c>
      <c r="Z1" s="288"/>
    </row>
    <row r="2" spans="1:34" ht="45.95">
      <c r="A2" s="167" t="s">
        <v>6</v>
      </c>
      <c r="B2" s="167" t="s">
        <v>7</v>
      </c>
      <c r="C2" s="168" t="s">
        <v>8</v>
      </c>
      <c r="D2" s="167" t="s">
        <v>9</v>
      </c>
      <c r="E2" s="169" t="s">
        <v>10</v>
      </c>
      <c r="F2" s="169" t="s">
        <v>11</v>
      </c>
      <c r="G2" s="169" t="s">
        <v>12</v>
      </c>
      <c r="H2" s="169" t="s">
        <v>13</v>
      </c>
      <c r="I2" s="169" t="s">
        <v>14</v>
      </c>
      <c r="J2" s="169" t="s">
        <v>15</v>
      </c>
      <c r="K2" s="170" t="s">
        <v>10</v>
      </c>
      <c r="L2" s="170" t="s">
        <v>11</v>
      </c>
      <c r="M2" s="170" t="s">
        <v>12</v>
      </c>
      <c r="N2" s="170" t="s">
        <v>13</v>
      </c>
      <c r="O2" s="170" t="s">
        <v>14</v>
      </c>
      <c r="P2" s="170" t="s">
        <v>15</v>
      </c>
      <c r="Q2" s="171" t="s">
        <v>10</v>
      </c>
      <c r="R2" s="171" t="s">
        <v>11</v>
      </c>
      <c r="S2" s="171" t="s">
        <v>12</v>
      </c>
      <c r="T2" s="171" t="s">
        <v>13</v>
      </c>
      <c r="U2" s="171" t="s">
        <v>14</v>
      </c>
      <c r="V2" s="171" t="s">
        <v>15</v>
      </c>
      <c r="W2" s="172" t="s">
        <v>16</v>
      </c>
      <c r="X2" s="173" t="s">
        <v>17</v>
      </c>
      <c r="Y2" s="165" t="s">
        <v>18</v>
      </c>
      <c r="Z2" s="138" t="s">
        <v>19</v>
      </c>
      <c r="AA2" s="158" t="s">
        <v>10</v>
      </c>
      <c r="AB2" s="158" t="s">
        <v>11</v>
      </c>
      <c r="AC2" s="158" t="s">
        <v>12</v>
      </c>
      <c r="AD2" s="158" t="s">
        <v>13</v>
      </c>
      <c r="AE2" s="158" t="s">
        <v>14</v>
      </c>
      <c r="AF2" s="158" t="s">
        <v>15</v>
      </c>
      <c r="AG2" s="159" t="s">
        <v>20</v>
      </c>
      <c r="AH2" s="159" t="s">
        <v>21</v>
      </c>
    </row>
    <row r="3" spans="1:34" ht="34.5">
      <c r="A3" s="174" t="s">
        <v>22</v>
      </c>
      <c r="B3" s="175" t="s">
        <v>23</v>
      </c>
      <c r="C3" s="175" t="s">
        <v>24</v>
      </c>
      <c r="D3" s="175" t="s">
        <v>24</v>
      </c>
      <c r="E3" s="175" t="s">
        <v>25</v>
      </c>
      <c r="F3" s="175">
        <v>33</v>
      </c>
      <c r="G3" s="175">
        <v>4.8550000000000004</v>
      </c>
      <c r="H3" s="175">
        <v>86.6</v>
      </c>
      <c r="I3" s="175">
        <v>357.38</v>
      </c>
      <c r="J3" s="176" t="s">
        <v>26</v>
      </c>
      <c r="K3" s="175" t="s">
        <v>25</v>
      </c>
      <c r="L3" s="175">
        <v>46</v>
      </c>
      <c r="M3" s="175">
        <v>4.7850000000000001</v>
      </c>
      <c r="N3" s="175">
        <v>86.03</v>
      </c>
      <c r="O3" s="175">
        <v>501.76</v>
      </c>
      <c r="P3" s="176" t="s">
        <v>26</v>
      </c>
      <c r="Q3" s="175" t="s">
        <v>25</v>
      </c>
      <c r="R3" s="175">
        <v>63</v>
      </c>
      <c r="S3" s="175">
        <v>4.9889999999999999</v>
      </c>
      <c r="T3" s="175">
        <v>95.25</v>
      </c>
      <c r="U3" s="175">
        <v>611.57000000000005</v>
      </c>
      <c r="V3" s="176" t="s">
        <v>26</v>
      </c>
      <c r="W3" s="177">
        <v>0.71199999999999997</v>
      </c>
      <c r="X3" s="178">
        <v>0.58399999999999996</v>
      </c>
      <c r="Y3" s="166" t="s">
        <v>27</v>
      </c>
      <c r="Z3" s="139" t="s">
        <v>23</v>
      </c>
      <c r="AA3" s="160" t="s">
        <v>25</v>
      </c>
      <c r="AB3" s="160">
        <v>36</v>
      </c>
      <c r="AC3" s="160">
        <v>4.6760000000000002</v>
      </c>
      <c r="AD3" s="160">
        <v>87.27</v>
      </c>
      <c r="AE3" s="160">
        <v>386.15</v>
      </c>
      <c r="AF3" s="160" t="s">
        <v>26</v>
      </c>
      <c r="AG3" s="161">
        <v>0.76959999999999995</v>
      </c>
      <c r="AH3" s="162" t="s">
        <v>28</v>
      </c>
    </row>
    <row r="4" spans="1:34" ht="34.5">
      <c r="A4" s="174" t="s">
        <v>29</v>
      </c>
      <c r="B4" s="175" t="s">
        <v>23</v>
      </c>
      <c r="C4" s="175" t="s">
        <v>24</v>
      </c>
      <c r="D4" s="175" t="s">
        <v>24</v>
      </c>
      <c r="E4" s="175" t="s">
        <v>25</v>
      </c>
      <c r="F4" s="175">
        <v>524</v>
      </c>
      <c r="G4" s="175">
        <v>4.9779999999999998</v>
      </c>
      <c r="H4" s="175">
        <v>54.13</v>
      </c>
      <c r="I4" s="175">
        <v>8742.75</v>
      </c>
      <c r="J4" s="176" t="s">
        <v>26</v>
      </c>
      <c r="K4" s="175" t="s">
        <v>25</v>
      </c>
      <c r="L4" s="175">
        <v>536</v>
      </c>
      <c r="M4" s="175">
        <v>4.9390000000000001</v>
      </c>
      <c r="N4" s="175">
        <v>57.29</v>
      </c>
      <c r="O4" s="175">
        <v>8501.11</v>
      </c>
      <c r="P4" s="176" t="s">
        <v>26</v>
      </c>
      <c r="Q4" s="175" t="s">
        <v>25</v>
      </c>
      <c r="R4" s="175">
        <v>546</v>
      </c>
      <c r="S4" s="175">
        <v>4.9109999999999996</v>
      </c>
      <c r="T4" s="175">
        <v>80.2</v>
      </c>
      <c r="U4" s="175">
        <v>5932.79</v>
      </c>
      <c r="V4" s="176" t="s">
        <v>26</v>
      </c>
      <c r="W4" s="178">
        <v>1.028</v>
      </c>
      <c r="X4" s="178">
        <v>1.474</v>
      </c>
      <c r="Y4" s="166" t="s">
        <v>27</v>
      </c>
      <c r="Z4" s="139" t="s">
        <v>23</v>
      </c>
    </row>
    <row r="5" spans="1:34" ht="34.5">
      <c r="A5" s="174" t="s">
        <v>30</v>
      </c>
      <c r="B5" s="175" t="s">
        <v>23</v>
      </c>
      <c r="C5" s="175" t="s">
        <v>24</v>
      </c>
      <c r="D5" s="175" t="s">
        <v>24</v>
      </c>
      <c r="E5" s="175" t="s">
        <v>25</v>
      </c>
      <c r="F5" s="175">
        <v>90</v>
      </c>
      <c r="G5" s="175">
        <v>3.5089999999999999</v>
      </c>
      <c r="H5" s="175">
        <v>99.13</v>
      </c>
      <c r="I5" s="175">
        <v>867.23</v>
      </c>
      <c r="J5" s="176" t="s">
        <v>26</v>
      </c>
      <c r="K5" s="175" t="s">
        <v>25</v>
      </c>
      <c r="L5" s="175">
        <v>96</v>
      </c>
      <c r="M5" s="175">
        <v>3.883</v>
      </c>
      <c r="N5" s="175">
        <v>98.55</v>
      </c>
      <c r="O5" s="175">
        <v>916.83</v>
      </c>
      <c r="P5" s="176" t="s">
        <v>26</v>
      </c>
      <c r="Q5" s="175" t="s">
        <v>25</v>
      </c>
      <c r="R5" s="175">
        <v>194</v>
      </c>
      <c r="S5" s="175">
        <v>4.9800000000000004</v>
      </c>
      <c r="T5" s="175">
        <v>90.76</v>
      </c>
      <c r="U5" s="175">
        <v>1897</v>
      </c>
      <c r="V5" s="176" t="s">
        <v>26</v>
      </c>
      <c r="W5" s="178">
        <v>0.94599999999999995</v>
      </c>
      <c r="X5" s="178">
        <v>0.45700000000000002</v>
      </c>
      <c r="Y5" s="166" t="s">
        <v>27</v>
      </c>
      <c r="Z5" s="139" t="s">
        <v>23</v>
      </c>
    </row>
    <row r="6" spans="1:34" ht="34.5">
      <c r="A6" s="174" t="s">
        <v>31</v>
      </c>
      <c r="B6" s="175" t="s">
        <v>23</v>
      </c>
      <c r="C6" s="175" t="s">
        <v>24</v>
      </c>
      <c r="D6" s="175" t="s">
        <v>24</v>
      </c>
      <c r="E6" s="175" t="s">
        <v>32</v>
      </c>
      <c r="F6" s="175">
        <v>1</v>
      </c>
      <c r="G6" s="175">
        <v>1.796</v>
      </c>
      <c r="H6" s="175">
        <v>168.84</v>
      </c>
      <c r="I6" s="175">
        <v>5.87</v>
      </c>
      <c r="J6" s="179" t="s">
        <v>33</v>
      </c>
      <c r="K6" s="175" t="s">
        <v>32</v>
      </c>
      <c r="L6" s="175">
        <v>1</v>
      </c>
      <c r="M6" s="175">
        <v>2.0529999999999999</v>
      </c>
      <c r="N6" s="175">
        <v>165.27</v>
      </c>
      <c r="O6" s="175">
        <v>5.98</v>
      </c>
      <c r="P6" s="179" t="s">
        <v>33</v>
      </c>
      <c r="Q6" s="175" t="s">
        <v>34</v>
      </c>
      <c r="R6" s="175">
        <v>1</v>
      </c>
      <c r="S6" s="175">
        <v>1.6579999999999999</v>
      </c>
      <c r="T6" s="175">
        <v>122.72</v>
      </c>
      <c r="U6" s="175">
        <v>8.0500000000000007</v>
      </c>
      <c r="V6" s="179" t="s">
        <v>33</v>
      </c>
      <c r="W6" s="178">
        <v>0.98199999999999998</v>
      </c>
      <c r="X6" s="178">
        <v>0.72899999999999998</v>
      </c>
      <c r="Y6" s="166" t="s">
        <v>35</v>
      </c>
      <c r="Z6" s="139" t="s">
        <v>23</v>
      </c>
    </row>
    <row r="7" spans="1:34" ht="69">
      <c r="A7" s="180" t="s">
        <v>36</v>
      </c>
      <c r="B7" s="175" t="s">
        <v>37</v>
      </c>
      <c r="C7" s="175" t="s">
        <v>24</v>
      </c>
      <c r="D7" s="175" t="s">
        <v>24</v>
      </c>
      <c r="E7" s="175" t="s">
        <v>32</v>
      </c>
      <c r="F7" s="175">
        <v>2</v>
      </c>
      <c r="G7" s="175">
        <v>1.1439999999999999</v>
      </c>
      <c r="H7" s="175">
        <v>85.78</v>
      </c>
      <c r="I7" s="175">
        <v>23.03</v>
      </c>
      <c r="J7" s="176" t="s">
        <v>26</v>
      </c>
      <c r="K7" s="175" t="s">
        <v>32</v>
      </c>
      <c r="L7" s="175">
        <v>1</v>
      </c>
      <c r="M7" s="175">
        <v>29.471</v>
      </c>
      <c r="N7" s="175">
        <v>46554.99</v>
      </c>
      <c r="O7" s="175">
        <v>0.02</v>
      </c>
      <c r="P7" s="179" t="s">
        <v>33</v>
      </c>
      <c r="Q7" s="175" t="s">
        <v>34</v>
      </c>
      <c r="R7" s="175">
        <v>2</v>
      </c>
      <c r="S7" s="175">
        <v>1.2949999999999999</v>
      </c>
      <c r="T7" s="175">
        <v>97.04</v>
      </c>
      <c r="U7" s="175">
        <v>20.36</v>
      </c>
      <c r="V7" s="176" t="s">
        <v>26</v>
      </c>
      <c r="W7" s="178">
        <v>1151.5</v>
      </c>
      <c r="X7" s="178">
        <v>1.131</v>
      </c>
      <c r="Y7" s="193" t="s">
        <v>38</v>
      </c>
      <c r="Z7" s="139" t="s">
        <v>39</v>
      </c>
    </row>
    <row r="8" spans="1:34" ht="34.5">
      <c r="A8" s="174" t="s">
        <v>40</v>
      </c>
      <c r="B8" s="175" t="s">
        <v>23</v>
      </c>
      <c r="C8" s="175" t="s">
        <v>24</v>
      </c>
      <c r="D8" s="175" t="s">
        <v>24</v>
      </c>
      <c r="E8" s="175" t="s">
        <v>32</v>
      </c>
      <c r="F8" s="175">
        <v>4</v>
      </c>
      <c r="G8" s="175">
        <v>2.556</v>
      </c>
      <c r="H8" s="175">
        <v>98.97</v>
      </c>
      <c r="I8" s="175">
        <v>39.53</v>
      </c>
      <c r="J8" s="176" t="s">
        <v>26</v>
      </c>
      <c r="K8" s="175" t="s">
        <v>32</v>
      </c>
      <c r="L8" s="175" t="s">
        <v>23</v>
      </c>
      <c r="M8" s="175" t="s">
        <v>23</v>
      </c>
      <c r="N8" s="175" t="s">
        <v>23</v>
      </c>
      <c r="O8" s="175" t="s">
        <v>23</v>
      </c>
      <c r="P8" s="179" t="s">
        <v>33</v>
      </c>
      <c r="Q8" s="175" t="s">
        <v>34</v>
      </c>
      <c r="R8" s="175">
        <v>8</v>
      </c>
      <c r="S8" s="175">
        <v>3.7770000000000001</v>
      </c>
      <c r="T8" s="175">
        <v>98.87</v>
      </c>
      <c r="U8" s="175">
        <v>78.069999999999993</v>
      </c>
      <c r="V8" s="176" t="s">
        <v>26</v>
      </c>
      <c r="W8" s="175" t="s">
        <v>23</v>
      </c>
      <c r="X8" s="178">
        <v>0.50600000000000001</v>
      </c>
      <c r="Y8" s="166" t="s">
        <v>41</v>
      </c>
      <c r="Z8" s="139" t="s">
        <v>23</v>
      </c>
    </row>
    <row r="9" spans="1:34" ht="34.5">
      <c r="A9" s="174" t="s">
        <v>42</v>
      </c>
      <c r="B9" s="175" t="s">
        <v>23</v>
      </c>
      <c r="C9" s="175" t="s">
        <v>24</v>
      </c>
      <c r="D9" s="175" t="s">
        <v>24</v>
      </c>
      <c r="E9" s="175" t="s">
        <v>43</v>
      </c>
      <c r="F9" s="175">
        <v>1</v>
      </c>
      <c r="G9" s="175">
        <v>1.47</v>
      </c>
      <c r="H9" s="175">
        <v>152.22999999999999</v>
      </c>
      <c r="I9" s="175">
        <v>6.51</v>
      </c>
      <c r="J9" s="179" t="s">
        <v>33</v>
      </c>
      <c r="K9" s="175" t="s">
        <v>43</v>
      </c>
      <c r="L9" s="175">
        <v>1</v>
      </c>
      <c r="M9" s="175">
        <v>0.33800000000000002</v>
      </c>
      <c r="N9" s="175">
        <v>150.69</v>
      </c>
      <c r="O9" s="175">
        <v>6.57</v>
      </c>
      <c r="P9" s="179" t="s">
        <v>33</v>
      </c>
      <c r="Q9" s="175" t="s">
        <v>44</v>
      </c>
      <c r="R9" s="175">
        <v>1</v>
      </c>
      <c r="S9" s="175">
        <v>1.208</v>
      </c>
      <c r="T9" s="175">
        <v>103</v>
      </c>
      <c r="U9" s="175">
        <v>9.67</v>
      </c>
      <c r="V9" s="179" t="s">
        <v>33</v>
      </c>
      <c r="W9" s="178">
        <v>0.99099999999999999</v>
      </c>
      <c r="X9" s="178">
        <v>0.67300000000000004</v>
      </c>
      <c r="Y9" s="166" t="s">
        <v>45</v>
      </c>
      <c r="Z9" s="139" t="s">
        <v>23</v>
      </c>
    </row>
    <row r="10" spans="1:34" ht="34.5">
      <c r="A10" s="174" t="s">
        <v>46</v>
      </c>
      <c r="B10" s="175" t="s">
        <v>23</v>
      </c>
      <c r="C10" s="175" t="s">
        <v>24</v>
      </c>
      <c r="D10" s="175" t="s">
        <v>24</v>
      </c>
      <c r="E10" s="175" t="s">
        <v>32</v>
      </c>
      <c r="F10" s="175">
        <v>1</v>
      </c>
      <c r="G10" s="175">
        <v>1.194</v>
      </c>
      <c r="H10" s="175">
        <v>85.59</v>
      </c>
      <c r="I10" s="175">
        <v>11.54</v>
      </c>
      <c r="J10" s="176" t="s">
        <v>26</v>
      </c>
      <c r="K10" s="175" t="s">
        <v>32</v>
      </c>
      <c r="L10" s="175">
        <v>1</v>
      </c>
      <c r="M10" s="175">
        <v>1.2410000000000001</v>
      </c>
      <c r="N10" s="175">
        <v>85.72</v>
      </c>
      <c r="O10" s="175">
        <v>11.51</v>
      </c>
      <c r="P10" s="176" t="s">
        <v>26</v>
      </c>
      <c r="Q10" s="175" t="s">
        <v>34</v>
      </c>
      <c r="R10" s="175">
        <v>2</v>
      </c>
      <c r="S10" s="175">
        <v>1.6160000000000001</v>
      </c>
      <c r="T10" s="175">
        <v>84.01</v>
      </c>
      <c r="U10" s="175">
        <v>23.39</v>
      </c>
      <c r="V10" s="176" t="s">
        <v>26</v>
      </c>
      <c r="W10" s="178">
        <v>1.0029999999999999</v>
      </c>
      <c r="X10" s="178">
        <v>0.49299999999999999</v>
      </c>
      <c r="Y10" s="166" t="s">
        <v>41</v>
      </c>
      <c r="Z10" s="139" t="s">
        <v>23</v>
      </c>
    </row>
    <row r="11" spans="1:34" ht="80.45" hidden="1">
      <c r="A11" s="180" t="s">
        <v>47</v>
      </c>
      <c r="B11" s="175" t="s">
        <v>48</v>
      </c>
      <c r="C11" s="175" t="s">
        <v>24</v>
      </c>
      <c r="D11" s="175" t="s">
        <v>24</v>
      </c>
      <c r="E11" s="175" t="s">
        <v>43</v>
      </c>
      <c r="F11" s="175" t="s">
        <v>49</v>
      </c>
      <c r="G11" s="175" t="s">
        <v>23</v>
      </c>
      <c r="H11" s="175" t="s">
        <v>23</v>
      </c>
      <c r="I11" s="175" t="s">
        <v>23</v>
      </c>
      <c r="J11" s="179" t="s">
        <v>33</v>
      </c>
      <c r="K11" s="175" t="s">
        <v>43</v>
      </c>
      <c r="L11" s="175" t="s">
        <v>49</v>
      </c>
      <c r="M11" s="175" t="s">
        <v>23</v>
      </c>
      <c r="N11" s="175" t="s">
        <v>23</v>
      </c>
      <c r="O11" s="175" t="s">
        <v>23</v>
      </c>
      <c r="P11" s="179" t="s">
        <v>33</v>
      </c>
      <c r="Q11" s="175" t="s">
        <v>44</v>
      </c>
      <c r="R11" s="175">
        <v>8</v>
      </c>
      <c r="S11" s="175">
        <v>4.8209999999999997</v>
      </c>
      <c r="T11" s="175">
        <v>59.2</v>
      </c>
      <c r="U11" s="175">
        <v>125.27</v>
      </c>
      <c r="V11" s="176" t="s">
        <v>26</v>
      </c>
      <c r="W11" s="175" t="s">
        <v>23</v>
      </c>
      <c r="X11" s="175" t="s">
        <v>23</v>
      </c>
      <c r="Y11" s="166" t="s">
        <v>50</v>
      </c>
      <c r="Z11" s="139" t="s">
        <v>23</v>
      </c>
    </row>
    <row r="12" spans="1:34" ht="34.5">
      <c r="A12" s="174" t="s">
        <v>51</v>
      </c>
      <c r="B12" s="175" t="s">
        <v>23</v>
      </c>
      <c r="C12" s="175" t="s">
        <v>24</v>
      </c>
      <c r="D12" s="175" t="s">
        <v>24</v>
      </c>
      <c r="E12" s="175" t="s">
        <v>25</v>
      </c>
      <c r="F12" s="175">
        <v>813</v>
      </c>
      <c r="G12" s="175">
        <v>3.66</v>
      </c>
      <c r="H12" s="175">
        <v>99.73</v>
      </c>
      <c r="I12" s="175">
        <v>7810.31</v>
      </c>
      <c r="J12" s="176" t="s">
        <v>26</v>
      </c>
      <c r="K12" s="175" t="s">
        <v>25</v>
      </c>
      <c r="L12" s="175">
        <v>136</v>
      </c>
      <c r="M12" s="175">
        <v>3.6230000000000002</v>
      </c>
      <c r="N12" s="175">
        <v>99.5</v>
      </c>
      <c r="O12" s="175">
        <v>1318.21</v>
      </c>
      <c r="P12" s="176" t="s">
        <v>26</v>
      </c>
      <c r="Q12" s="175" t="s">
        <v>25</v>
      </c>
      <c r="R12" s="175">
        <v>640</v>
      </c>
      <c r="S12" s="175">
        <v>3.4249999999999998</v>
      </c>
      <c r="T12" s="175">
        <v>99.81</v>
      </c>
      <c r="U12" s="175">
        <v>5575.87</v>
      </c>
      <c r="V12" s="176" t="s">
        <v>26</v>
      </c>
      <c r="W12" s="178">
        <v>5.9249999999999998</v>
      </c>
      <c r="X12" s="178">
        <v>1.401</v>
      </c>
      <c r="Y12" s="166" t="s">
        <v>27</v>
      </c>
      <c r="Z12" s="139" t="s">
        <v>23</v>
      </c>
    </row>
    <row r="13" spans="1:34" ht="34.5">
      <c r="A13" s="174" t="s">
        <v>52</v>
      </c>
      <c r="B13" s="175" t="s">
        <v>23</v>
      </c>
      <c r="C13" s="175" t="s">
        <v>24</v>
      </c>
      <c r="D13" s="175" t="s">
        <v>24</v>
      </c>
      <c r="E13" s="175" t="s">
        <v>25</v>
      </c>
      <c r="F13" s="175">
        <v>142</v>
      </c>
      <c r="G13" s="175">
        <v>4.9509999999999996</v>
      </c>
      <c r="H13" s="175">
        <v>71.98</v>
      </c>
      <c r="I13" s="175">
        <v>1823.23</v>
      </c>
      <c r="J13" s="176" t="s">
        <v>26</v>
      </c>
      <c r="K13" s="175" t="s">
        <v>25</v>
      </c>
      <c r="L13" s="175">
        <v>16</v>
      </c>
      <c r="M13" s="175">
        <v>4.548</v>
      </c>
      <c r="N13" s="175">
        <v>53.34</v>
      </c>
      <c r="O13" s="175">
        <v>277.14</v>
      </c>
      <c r="P13" s="176" t="s">
        <v>26</v>
      </c>
      <c r="Q13" s="175" t="s">
        <v>25</v>
      </c>
      <c r="R13" s="175">
        <v>152</v>
      </c>
      <c r="S13" s="175">
        <v>4.9870000000000001</v>
      </c>
      <c r="T13" s="175">
        <v>84.07</v>
      </c>
      <c r="U13" s="175">
        <v>1600.89</v>
      </c>
      <c r="V13" s="176" t="s">
        <v>26</v>
      </c>
      <c r="W13" s="178">
        <v>6.5789999999999997</v>
      </c>
      <c r="X13" s="178">
        <v>1.139</v>
      </c>
      <c r="Y13" s="166" t="s">
        <v>53</v>
      </c>
      <c r="Z13" s="139" t="s">
        <v>23</v>
      </c>
    </row>
    <row r="14" spans="1:34" ht="34.5">
      <c r="A14" s="174" t="s">
        <v>54</v>
      </c>
      <c r="B14" s="175" t="s">
        <v>23</v>
      </c>
      <c r="C14" s="175" t="s">
        <v>24</v>
      </c>
      <c r="D14" s="175" t="s">
        <v>24</v>
      </c>
      <c r="E14" s="175" t="s">
        <v>43</v>
      </c>
      <c r="F14" s="175">
        <v>23</v>
      </c>
      <c r="G14" s="175">
        <v>4.7699999999999996</v>
      </c>
      <c r="H14" s="175">
        <v>88.44</v>
      </c>
      <c r="I14" s="175">
        <v>245.45</v>
      </c>
      <c r="J14" s="176" t="s">
        <v>26</v>
      </c>
      <c r="K14" s="175" t="s">
        <v>43</v>
      </c>
      <c r="L14" s="175">
        <v>1</v>
      </c>
      <c r="M14" s="175">
        <v>122.15</v>
      </c>
      <c r="N14" s="175">
        <v>9250.98</v>
      </c>
      <c r="O14" s="175">
        <v>0.08</v>
      </c>
      <c r="P14" s="179" t="s">
        <v>33</v>
      </c>
      <c r="Q14" s="175" t="s">
        <v>44</v>
      </c>
      <c r="R14" s="175">
        <v>22</v>
      </c>
      <c r="S14" s="175">
        <v>1.806</v>
      </c>
      <c r="T14" s="175">
        <v>99.77</v>
      </c>
      <c r="U14" s="175">
        <v>210.46</v>
      </c>
      <c r="V14" s="176" t="s">
        <v>26</v>
      </c>
      <c r="W14" s="178">
        <v>3068.125</v>
      </c>
      <c r="X14" s="178">
        <v>1.1659999999999999</v>
      </c>
      <c r="Y14" s="166" t="s">
        <v>55</v>
      </c>
      <c r="Z14" s="139" t="s">
        <v>56</v>
      </c>
    </row>
    <row r="15" spans="1:34" ht="34.5">
      <c r="A15" s="174" t="s">
        <v>57</v>
      </c>
      <c r="B15" s="175" t="s">
        <v>23</v>
      </c>
      <c r="C15" s="175" t="s">
        <v>24</v>
      </c>
      <c r="D15" s="175" t="s">
        <v>24</v>
      </c>
      <c r="E15" s="175" t="s">
        <v>25</v>
      </c>
      <c r="F15" s="175">
        <v>20</v>
      </c>
      <c r="G15" s="175">
        <v>1.89</v>
      </c>
      <c r="H15" s="175">
        <v>99.27</v>
      </c>
      <c r="I15" s="175">
        <v>190.04</v>
      </c>
      <c r="J15" s="176" t="s">
        <v>26</v>
      </c>
      <c r="K15" s="175" t="s">
        <v>25</v>
      </c>
      <c r="L15" s="175">
        <v>16</v>
      </c>
      <c r="M15" s="175">
        <v>1.833</v>
      </c>
      <c r="N15" s="175">
        <v>98.61</v>
      </c>
      <c r="O15" s="175">
        <v>156.93</v>
      </c>
      <c r="P15" s="176" t="s">
        <v>26</v>
      </c>
      <c r="Q15" s="175" t="s">
        <v>25</v>
      </c>
      <c r="R15" s="175">
        <v>14</v>
      </c>
      <c r="S15" s="175">
        <v>1.66</v>
      </c>
      <c r="T15" s="175">
        <v>96.69</v>
      </c>
      <c r="U15" s="175">
        <v>131.36000000000001</v>
      </c>
      <c r="V15" s="176" t="s">
        <v>26</v>
      </c>
      <c r="W15" s="178">
        <v>1.2110000000000001</v>
      </c>
      <c r="X15" s="178">
        <v>1.4470000000000001</v>
      </c>
      <c r="Y15" s="166" t="s">
        <v>53</v>
      </c>
      <c r="Z15" s="139" t="s">
        <v>23</v>
      </c>
    </row>
    <row r="16" spans="1:34" ht="34.5">
      <c r="A16" s="174" t="s">
        <v>58</v>
      </c>
      <c r="B16" s="175" t="s">
        <v>23</v>
      </c>
      <c r="C16" s="175" t="s">
        <v>24</v>
      </c>
      <c r="D16" s="175" t="s">
        <v>24</v>
      </c>
      <c r="E16" s="175" t="s">
        <v>43</v>
      </c>
      <c r="F16" s="175">
        <v>19</v>
      </c>
      <c r="G16" s="175">
        <v>4.3339999999999996</v>
      </c>
      <c r="H16" s="175">
        <v>87.64</v>
      </c>
      <c r="I16" s="175">
        <v>204.58</v>
      </c>
      <c r="J16" s="176" t="s">
        <v>26</v>
      </c>
      <c r="K16" s="175" t="s">
        <v>43</v>
      </c>
      <c r="L16" s="175">
        <v>15</v>
      </c>
      <c r="M16" s="175">
        <v>4.4320000000000004</v>
      </c>
      <c r="N16" s="175">
        <v>75.989999999999995</v>
      </c>
      <c r="O16" s="175">
        <v>183.97</v>
      </c>
      <c r="P16" s="176" t="s">
        <v>26</v>
      </c>
      <c r="Q16" s="175" t="s">
        <v>44</v>
      </c>
      <c r="R16" s="175">
        <v>16</v>
      </c>
      <c r="S16" s="175">
        <v>4.7889999999999997</v>
      </c>
      <c r="T16" s="175">
        <v>75.180000000000007</v>
      </c>
      <c r="U16" s="175">
        <v>200.5</v>
      </c>
      <c r="V16" s="176" t="s">
        <v>26</v>
      </c>
      <c r="W16" s="178">
        <v>1.1120000000000001</v>
      </c>
      <c r="X16" s="178">
        <v>1.02</v>
      </c>
      <c r="Y16" s="166" t="s">
        <v>55</v>
      </c>
      <c r="Z16" s="139" t="s">
        <v>23</v>
      </c>
    </row>
    <row r="17" spans="1:34" ht="34.5">
      <c r="A17" s="174" t="s">
        <v>59</v>
      </c>
      <c r="B17" s="175" t="s">
        <v>23</v>
      </c>
      <c r="C17" s="175" t="s">
        <v>24</v>
      </c>
      <c r="D17" s="175" t="s">
        <v>24</v>
      </c>
      <c r="E17" s="175" t="s">
        <v>25</v>
      </c>
      <c r="F17" s="175">
        <v>63</v>
      </c>
      <c r="G17" s="175">
        <v>2.8370000000000002</v>
      </c>
      <c r="H17" s="175">
        <v>99.03</v>
      </c>
      <c r="I17" s="175">
        <v>607.67999999999995</v>
      </c>
      <c r="J17" s="176" t="s">
        <v>26</v>
      </c>
      <c r="K17" s="175" t="s">
        <v>25</v>
      </c>
      <c r="L17" s="175">
        <v>11</v>
      </c>
      <c r="M17" s="175">
        <v>2.9359999999999999</v>
      </c>
      <c r="N17" s="175">
        <v>96.19</v>
      </c>
      <c r="O17" s="175">
        <v>111.13</v>
      </c>
      <c r="P17" s="176" t="s">
        <v>26</v>
      </c>
      <c r="Q17" s="175" t="s">
        <v>23</v>
      </c>
      <c r="R17" s="175">
        <v>89</v>
      </c>
      <c r="S17" s="175">
        <v>4.9489999999999998</v>
      </c>
      <c r="T17" s="175">
        <v>85.14</v>
      </c>
      <c r="U17" s="175">
        <v>546.47</v>
      </c>
      <c r="V17" s="176" t="s">
        <v>26</v>
      </c>
      <c r="W17" s="178">
        <v>5.468</v>
      </c>
      <c r="X17" s="178">
        <v>1.1120000000000001</v>
      </c>
      <c r="Y17" s="166" t="s">
        <v>27</v>
      </c>
      <c r="Z17" s="139" t="s">
        <v>23</v>
      </c>
    </row>
    <row r="18" spans="1:34" ht="34.5">
      <c r="A18" s="174" t="s">
        <v>60</v>
      </c>
      <c r="B18" s="175" t="s">
        <v>23</v>
      </c>
      <c r="C18" s="175" t="s">
        <v>24</v>
      </c>
      <c r="D18" s="175" t="s">
        <v>24</v>
      </c>
      <c r="E18" s="175" t="s">
        <v>43</v>
      </c>
      <c r="F18" s="175">
        <v>11</v>
      </c>
      <c r="G18" s="175">
        <v>2.391</v>
      </c>
      <c r="H18" s="175">
        <v>98.79</v>
      </c>
      <c r="I18" s="175">
        <v>106.54</v>
      </c>
      <c r="J18" s="176" t="s">
        <v>26</v>
      </c>
      <c r="K18" s="175" t="s">
        <v>43</v>
      </c>
      <c r="L18" s="175">
        <v>12</v>
      </c>
      <c r="M18" s="175">
        <v>3.2989999999999999</v>
      </c>
      <c r="N18" s="175">
        <v>97.54</v>
      </c>
      <c r="O18" s="175">
        <v>118.82</v>
      </c>
      <c r="P18" s="176" t="s">
        <v>26</v>
      </c>
      <c r="Q18" s="175" t="s">
        <v>44</v>
      </c>
      <c r="R18" s="175">
        <v>16</v>
      </c>
      <c r="S18" s="175">
        <v>0.96799999999999997</v>
      </c>
      <c r="T18" s="175">
        <v>67.900000000000006</v>
      </c>
      <c r="U18" s="175">
        <v>220.11</v>
      </c>
      <c r="V18" s="176" t="s">
        <v>26</v>
      </c>
      <c r="W18" s="178">
        <v>0.89700000000000002</v>
      </c>
      <c r="X18" s="178">
        <v>0.48399999999999999</v>
      </c>
      <c r="Y18" s="166" t="s">
        <v>55</v>
      </c>
      <c r="Z18" s="139" t="s">
        <v>23</v>
      </c>
    </row>
    <row r="19" spans="1:34" ht="34.5">
      <c r="A19" s="174" t="s">
        <v>61</v>
      </c>
      <c r="B19" s="175" t="s">
        <v>23</v>
      </c>
      <c r="C19" s="175" t="s">
        <v>24</v>
      </c>
      <c r="D19" s="175" t="s">
        <v>24</v>
      </c>
      <c r="E19" s="175" t="s">
        <v>43</v>
      </c>
      <c r="F19" s="175">
        <v>49</v>
      </c>
      <c r="G19" s="175">
        <v>3.97</v>
      </c>
      <c r="H19" s="175">
        <v>96.98</v>
      </c>
      <c r="I19" s="175">
        <v>478.95</v>
      </c>
      <c r="J19" s="176" t="s">
        <v>26</v>
      </c>
      <c r="K19" s="175" t="s">
        <v>43</v>
      </c>
      <c r="L19" s="175">
        <v>66</v>
      </c>
      <c r="M19" s="175">
        <v>4.99</v>
      </c>
      <c r="N19" s="175">
        <v>99.87</v>
      </c>
      <c r="O19" s="175">
        <v>606.87</v>
      </c>
      <c r="P19" s="176" t="s">
        <v>26</v>
      </c>
      <c r="Q19" s="175" t="s">
        <v>44</v>
      </c>
      <c r="R19" s="175">
        <v>21</v>
      </c>
      <c r="S19" s="175">
        <v>0.89400000000000002</v>
      </c>
      <c r="T19" s="175">
        <v>100.48</v>
      </c>
      <c r="U19" s="175">
        <v>203.45</v>
      </c>
      <c r="V19" s="179" t="s">
        <v>33</v>
      </c>
      <c r="W19" s="177">
        <v>0.78900000000000003</v>
      </c>
      <c r="X19" s="178">
        <v>2.3540000000000001</v>
      </c>
      <c r="Y19" s="166" t="s">
        <v>55</v>
      </c>
      <c r="Z19" s="139" t="s">
        <v>23</v>
      </c>
      <c r="AA19" s="160" t="s">
        <v>43</v>
      </c>
      <c r="AB19" s="160">
        <v>49</v>
      </c>
      <c r="AC19" s="160">
        <v>4.0090000000000003</v>
      </c>
      <c r="AD19" s="160">
        <v>99.33</v>
      </c>
      <c r="AE19" s="160">
        <v>470.47</v>
      </c>
      <c r="AF19" s="160" t="s">
        <v>26</v>
      </c>
      <c r="AG19" s="161">
        <v>0.7752</v>
      </c>
      <c r="AH19" s="162" t="s">
        <v>62</v>
      </c>
    </row>
    <row r="20" spans="1:34" ht="48">
      <c r="A20" s="174" t="s">
        <v>63</v>
      </c>
      <c r="B20" s="175" t="s">
        <v>64</v>
      </c>
      <c r="C20" s="175" t="s">
        <v>24</v>
      </c>
      <c r="D20" s="175" t="s">
        <v>24</v>
      </c>
      <c r="E20" s="175" t="s">
        <v>43</v>
      </c>
      <c r="F20" s="175">
        <v>17</v>
      </c>
      <c r="G20" s="175">
        <v>2.319</v>
      </c>
      <c r="H20" s="175">
        <v>98.46</v>
      </c>
      <c r="I20" s="175">
        <v>167.9</v>
      </c>
      <c r="J20" s="176" t="s">
        <v>26</v>
      </c>
      <c r="K20" s="175" t="s">
        <v>43</v>
      </c>
      <c r="L20" s="175">
        <v>30</v>
      </c>
      <c r="M20" s="175">
        <v>3.323</v>
      </c>
      <c r="N20" s="175">
        <v>96.83</v>
      </c>
      <c r="O20" s="175">
        <v>299.04000000000002</v>
      </c>
      <c r="P20" s="176" t="s">
        <v>26</v>
      </c>
      <c r="Q20" s="175" t="s">
        <v>44</v>
      </c>
      <c r="R20" s="175">
        <v>23</v>
      </c>
      <c r="S20" s="175">
        <v>1.899</v>
      </c>
      <c r="T20" s="175">
        <v>98.89</v>
      </c>
      <c r="U20" s="175">
        <v>228.5</v>
      </c>
      <c r="V20" s="176" t="s">
        <v>26</v>
      </c>
      <c r="W20" s="177">
        <v>0.56100000000000005</v>
      </c>
      <c r="X20" s="178">
        <v>0.73499999999999999</v>
      </c>
      <c r="Y20" s="193" t="s">
        <v>65</v>
      </c>
      <c r="Z20" s="139" t="s">
        <v>23</v>
      </c>
      <c r="AA20" s="160" t="s">
        <v>43</v>
      </c>
      <c r="AB20" s="160">
        <v>19</v>
      </c>
      <c r="AC20" s="160">
        <v>2.577</v>
      </c>
      <c r="AD20" s="160">
        <v>98.8</v>
      </c>
      <c r="AE20" s="160">
        <v>178.95</v>
      </c>
      <c r="AF20" s="160" t="s">
        <v>26</v>
      </c>
      <c r="AG20" s="161">
        <v>0.59840000000000004</v>
      </c>
      <c r="AH20" s="162" t="s">
        <v>66</v>
      </c>
    </row>
    <row r="21" spans="1:34" ht="34.5">
      <c r="A21" s="174" t="s">
        <v>67</v>
      </c>
      <c r="B21" s="175" t="s">
        <v>23</v>
      </c>
      <c r="C21" s="175" t="s">
        <v>24</v>
      </c>
      <c r="D21" s="175" t="s">
        <v>24</v>
      </c>
      <c r="E21" s="175" t="s">
        <v>25</v>
      </c>
      <c r="F21" s="175">
        <v>330</v>
      </c>
      <c r="G21" s="175">
        <v>4.9729999999999999</v>
      </c>
      <c r="H21" s="175">
        <v>86.36</v>
      </c>
      <c r="I21" s="175">
        <v>3517.53</v>
      </c>
      <c r="J21" s="176" t="s">
        <v>26</v>
      </c>
      <c r="K21" s="175" t="s">
        <v>25</v>
      </c>
      <c r="L21" s="175">
        <v>336</v>
      </c>
      <c r="M21" s="175">
        <v>4.9219999999999997</v>
      </c>
      <c r="N21" s="175">
        <v>84.76</v>
      </c>
      <c r="O21" s="175">
        <v>3714.85</v>
      </c>
      <c r="P21" s="176" t="s">
        <v>26</v>
      </c>
      <c r="Q21" s="175" t="s">
        <v>25</v>
      </c>
      <c r="R21" s="175">
        <v>312</v>
      </c>
      <c r="S21" s="175">
        <v>4.2709999999999999</v>
      </c>
      <c r="T21" s="175">
        <v>99.56</v>
      </c>
      <c r="U21" s="175">
        <v>2775.37</v>
      </c>
      <c r="V21" s="176" t="s">
        <v>26</v>
      </c>
      <c r="W21" s="178">
        <v>0.94699999999999995</v>
      </c>
      <c r="X21" s="178">
        <v>1.2669999999999999</v>
      </c>
      <c r="Y21" s="166" t="s">
        <v>53</v>
      </c>
      <c r="Z21" s="139" t="s">
        <v>23</v>
      </c>
    </row>
    <row r="22" spans="1:34" ht="34.5">
      <c r="A22" s="174" t="s">
        <v>68</v>
      </c>
      <c r="B22" s="175" t="s">
        <v>23</v>
      </c>
      <c r="C22" s="175" t="s">
        <v>24</v>
      </c>
      <c r="D22" s="175" t="s">
        <v>24</v>
      </c>
      <c r="E22" s="175" t="s">
        <v>25</v>
      </c>
      <c r="F22" s="175">
        <v>99</v>
      </c>
      <c r="G22" s="175">
        <v>4.9960000000000004</v>
      </c>
      <c r="H22" s="175">
        <v>74.930000000000007</v>
      </c>
      <c r="I22" s="175">
        <v>1201.3</v>
      </c>
      <c r="J22" s="176" t="s">
        <v>26</v>
      </c>
      <c r="K22" s="175" t="s">
        <v>25</v>
      </c>
      <c r="L22" s="175">
        <v>86</v>
      </c>
      <c r="M22" s="175">
        <v>4.9210000000000003</v>
      </c>
      <c r="N22" s="175">
        <v>58.66</v>
      </c>
      <c r="O22" s="175">
        <v>1337.94</v>
      </c>
      <c r="P22" s="176" t="s">
        <v>26</v>
      </c>
      <c r="Q22" s="175" t="s">
        <v>25</v>
      </c>
      <c r="R22" s="175">
        <v>134</v>
      </c>
      <c r="S22" s="175">
        <v>4.8959999999999999</v>
      </c>
      <c r="T22" s="175">
        <v>90.71</v>
      </c>
      <c r="U22" s="175">
        <v>1307.1300000000001</v>
      </c>
      <c r="V22" s="176" t="s">
        <v>26</v>
      </c>
      <c r="W22" s="178">
        <v>0.89800000000000002</v>
      </c>
      <c r="X22" s="178">
        <v>0.91900000000000004</v>
      </c>
      <c r="Y22" s="166" t="s">
        <v>53</v>
      </c>
      <c r="Z22" s="139" t="s">
        <v>23</v>
      </c>
    </row>
    <row r="23" spans="1:34" ht="34.5">
      <c r="A23" s="174" t="s">
        <v>69</v>
      </c>
      <c r="B23" s="175" t="s">
        <v>23</v>
      </c>
      <c r="C23" s="175" t="s">
        <v>24</v>
      </c>
      <c r="D23" s="175" t="s">
        <v>24</v>
      </c>
      <c r="E23" s="175" t="s">
        <v>25</v>
      </c>
      <c r="F23" s="175">
        <v>35</v>
      </c>
      <c r="G23" s="175">
        <v>4.7939999999999996</v>
      </c>
      <c r="H23" s="175">
        <v>87.41</v>
      </c>
      <c r="I23" s="175">
        <v>375.58</v>
      </c>
      <c r="J23" s="176" t="s">
        <v>26</v>
      </c>
      <c r="K23" s="175" t="s">
        <v>25</v>
      </c>
      <c r="L23" s="175">
        <v>46</v>
      </c>
      <c r="M23" s="175">
        <v>4.8659999999999997</v>
      </c>
      <c r="N23" s="175">
        <v>87.75</v>
      </c>
      <c r="O23" s="175">
        <v>493.07</v>
      </c>
      <c r="P23" s="176" t="s">
        <v>26</v>
      </c>
      <c r="Q23" s="175" t="s">
        <v>25</v>
      </c>
      <c r="R23" s="175">
        <v>67</v>
      </c>
      <c r="S23" s="175">
        <v>4.9930000000000003</v>
      </c>
      <c r="T23" s="175">
        <v>99.9</v>
      </c>
      <c r="U23" s="175">
        <v>609.70000000000005</v>
      </c>
      <c r="V23" s="176" t="s">
        <v>26</v>
      </c>
      <c r="W23" s="177">
        <v>0.76200000000000001</v>
      </c>
      <c r="X23" s="178">
        <v>0.61599999999999999</v>
      </c>
      <c r="Y23" s="166" t="s">
        <v>53</v>
      </c>
      <c r="Z23" s="139" t="s">
        <v>23</v>
      </c>
      <c r="AA23" s="160" t="s">
        <v>25</v>
      </c>
      <c r="AB23" s="160">
        <v>41</v>
      </c>
      <c r="AC23" s="160">
        <v>4.5599999999999996</v>
      </c>
      <c r="AD23" s="160">
        <v>90.22</v>
      </c>
      <c r="AE23" s="160">
        <v>422.15</v>
      </c>
      <c r="AF23" s="160" t="s">
        <v>26</v>
      </c>
      <c r="AG23" s="161">
        <v>0.85619999999999996</v>
      </c>
      <c r="AH23" s="162" t="s">
        <v>70</v>
      </c>
    </row>
    <row r="24" spans="1:34" ht="34.5">
      <c r="A24" s="174" t="s">
        <v>71</v>
      </c>
      <c r="B24" s="175" t="s">
        <v>23</v>
      </c>
      <c r="C24" s="175" t="s">
        <v>24</v>
      </c>
      <c r="D24" s="175" t="s">
        <v>24</v>
      </c>
      <c r="E24" s="175" t="s">
        <v>25</v>
      </c>
      <c r="F24" s="175">
        <v>48</v>
      </c>
      <c r="G24" s="175">
        <v>3.448</v>
      </c>
      <c r="H24" s="175">
        <v>99.67</v>
      </c>
      <c r="I24" s="175">
        <v>458.86</v>
      </c>
      <c r="J24" s="176" t="s">
        <v>26</v>
      </c>
      <c r="K24" s="175" t="s">
        <v>25</v>
      </c>
      <c r="L24" s="175">
        <v>51</v>
      </c>
      <c r="M24" s="175">
        <v>4.9889999999999999</v>
      </c>
      <c r="N24" s="175">
        <v>97.31</v>
      </c>
      <c r="O24" s="175">
        <v>472.58</v>
      </c>
      <c r="P24" s="176" t="s">
        <v>26</v>
      </c>
      <c r="Q24" s="175" t="s">
        <v>25</v>
      </c>
      <c r="R24" s="175">
        <v>56</v>
      </c>
      <c r="S24" s="175">
        <v>4.7450000000000001</v>
      </c>
      <c r="T24" s="175">
        <v>81.36</v>
      </c>
      <c r="U24" s="175">
        <v>476.17</v>
      </c>
      <c r="V24" s="176" t="s">
        <v>26</v>
      </c>
      <c r="W24" s="178">
        <v>0.97099999999999997</v>
      </c>
      <c r="X24" s="178">
        <v>0.96399999999999997</v>
      </c>
      <c r="Y24" s="166" t="s">
        <v>53</v>
      </c>
      <c r="Z24" s="139" t="s">
        <v>23</v>
      </c>
    </row>
    <row r="25" spans="1:34" ht="34.5">
      <c r="A25" s="174" t="s">
        <v>72</v>
      </c>
      <c r="B25" s="175" t="s">
        <v>23</v>
      </c>
      <c r="C25" s="175" t="s">
        <v>24</v>
      </c>
      <c r="D25" s="175" t="s">
        <v>24</v>
      </c>
      <c r="E25" s="175" t="s">
        <v>25</v>
      </c>
      <c r="F25" s="175">
        <v>33</v>
      </c>
      <c r="G25" s="175">
        <v>4.9560000000000004</v>
      </c>
      <c r="H25" s="175">
        <v>79.900000000000006</v>
      </c>
      <c r="I25" s="175">
        <v>379.43</v>
      </c>
      <c r="J25" s="176" t="s">
        <v>26</v>
      </c>
      <c r="K25" s="175" t="s">
        <v>25</v>
      </c>
      <c r="L25" s="175">
        <v>46</v>
      </c>
      <c r="M25" s="175">
        <v>4.7750000000000004</v>
      </c>
      <c r="N25" s="175">
        <v>82.31</v>
      </c>
      <c r="O25" s="175">
        <v>517.71</v>
      </c>
      <c r="P25" s="176" t="s">
        <v>26</v>
      </c>
      <c r="Q25" s="175" t="s">
        <v>25</v>
      </c>
      <c r="R25" s="175">
        <v>61</v>
      </c>
      <c r="S25" s="175">
        <v>4.8869999999999996</v>
      </c>
      <c r="T25" s="175">
        <v>89.39</v>
      </c>
      <c r="U25" s="175">
        <v>624.17999999999995</v>
      </c>
      <c r="V25" s="176" t="s">
        <v>26</v>
      </c>
      <c r="W25" s="177">
        <v>0.73299999999999998</v>
      </c>
      <c r="X25" s="178">
        <v>0.60799999999999998</v>
      </c>
      <c r="Y25" s="166" t="s">
        <v>27</v>
      </c>
      <c r="Z25" s="139" t="s">
        <v>23</v>
      </c>
      <c r="AA25" s="160" t="s">
        <v>25</v>
      </c>
      <c r="AB25" s="160">
        <v>36</v>
      </c>
      <c r="AC25" s="160">
        <v>4.7880000000000003</v>
      </c>
      <c r="AD25" s="160">
        <v>80.819999999999993</v>
      </c>
      <c r="AE25" s="160">
        <v>416.67</v>
      </c>
      <c r="AF25" s="160" t="s">
        <v>26</v>
      </c>
      <c r="AG25" s="161">
        <v>0.80479999999999996</v>
      </c>
      <c r="AH25" s="162" t="s">
        <v>73</v>
      </c>
    </row>
    <row r="26" spans="1:34" ht="34.5">
      <c r="A26" s="174" t="s">
        <v>74</v>
      </c>
      <c r="B26" s="175" t="s">
        <v>23</v>
      </c>
      <c r="C26" s="175" t="s">
        <v>24</v>
      </c>
      <c r="D26" s="175" t="s">
        <v>24</v>
      </c>
      <c r="E26" s="175" t="s">
        <v>25</v>
      </c>
      <c r="F26" s="175">
        <v>172</v>
      </c>
      <c r="G26" s="175">
        <v>4.9930000000000003</v>
      </c>
      <c r="H26" s="175">
        <v>64.25</v>
      </c>
      <c r="I26" s="175">
        <v>2429.1799999999998</v>
      </c>
      <c r="J26" s="176" t="s">
        <v>26</v>
      </c>
      <c r="K26" s="175" t="s">
        <v>25</v>
      </c>
      <c r="L26" s="175">
        <v>171</v>
      </c>
      <c r="M26" s="175">
        <v>4.9130000000000003</v>
      </c>
      <c r="N26" s="175">
        <v>62.22</v>
      </c>
      <c r="O26" s="175">
        <v>2481.9699999999998</v>
      </c>
      <c r="P26" s="176" t="s">
        <v>26</v>
      </c>
      <c r="Q26" s="175" t="s">
        <v>25</v>
      </c>
      <c r="R26" s="175">
        <v>210</v>
      </c>
      <c r="S26" s="175">
        <v>4.9740000000000002</v>
      </c>
      <c r="T26" s="175">
        <v>89.5</v>
      </c>
      <c r="U26" s="175">
        <v>1842.45</v>
      </c>
      <c r="V26" s="176" t="s">
        <v>26</v>
      </c>
      <c r="W26" s="178">
        <v>0.97899999999999998</v>
      </c>
      <c r="X26" s="178">
        <v>1.3180000000000001</v>
      </c>
      <c r="Y26" s="166" t="s">
        <v>53</v>
      </c>
      <c r="Z26" s="139" t="s">
        <v>23</v>
      </c>
    </row>
    <row r="27" spans="1:34" ht="34.5">
      <c r="A27" s="174" t="s">
        <v>75</v>
      </c>
      <c r="B27" s="175" t="s">
        <v>23</v>
      </c>
      <c r="C27" s="175" t="s">
        <v>24</v>
      </c>
      <c r="D27" s="175" t="s">
        <v>24</v>
      </c>
      <c r="E27" s="175" t="s">
        <v>25</v>
      </c>
      <c r="F27" s="175">
        <v>30</v>
      </c>
      <c r="G27" s="175">
        <v>4.7880000000000003</v>
      </c>
      <c r="H27" s="175">
        <v>95.74</v>
      </c>
      <c r="I27" s="175">
        <v>296.98</v>
      </c>
      <c r="J27" s="176" t="s">
        <v>26</v>
      </c>
      <c r="K27" s="175" t="s">
        <v>25</v>
      </c>
      <c r="L27" s="175">
        <v>41</v>
      </c>
      <c r="M27" s="175">
        <v>4.9740000000000002</v>
      </c>
      <c r="N27" s="175">
        <v>89.6</v>
      </c>
      <c r="O27" s="175">
        <v>429.45</v>
      </c>
      <c r="P27" s="176" t="s">
        <v>26</v>
      </c>
      <c r="Q27" s="175" t="s">
        <v>25</v>
      </c>
      <c r="R27" s="175">
        <v>16</v>
      </c>
      <c r="S27" s="175">
        <v>2.004</v>
      </c>
      <c r="T27" s="175">
        <v>99.53</v>
      </c>
      <c r="U27" s="175">
        <v>147.38999999999999</v>
      </c>
      <c r="V27" s="176" t="s">
        <v>26</v>
      </c>
      <c r="W27" s="177">
        <v>0.69199999999999995</v>
      </c>
      <c r="X27" s="178">
        <v>2.0150000000000001</v>
      </c>
      <c r="Y27" s="166" t="s">
        <v>53</v>
      </c>
      <c r="Z27" s="139" t="s">
        <v>23</v>
      </c>
      <c r="AA27" s="160" t="s">
        <v>25</v>
      </c>
      <c r="AB27" s="160">
        <v>30</v>
      </c>
      <c r="AC27" s="160">
        <v>4.5869999999999997</v>
      </c>
      <c r="AD27" s="160">
        <v>96.15</v>
      </c>
      <c r="AE27" s="160">
        <v>294.61</v>
      </c>
      <c r="AF27" s="160" t="s">
        <v>26</v>
      </c>
      <c r="AG27" s="161">
        <v>0.68600000000000005</v>
      </c>
      <c r="AH27" s="162" t="s">
        <v>76</v>
      </c>
    </row>
    <row r="28" spans="1:34" ht="34.5">
      <c r="A28" s="174" t="s">
        <v>77</v>
      </c>
      <c r="B28" s="175" t="s">
        <v>23</v>
      </c>
      <c r="C28" s="175" t="s">
        <v>24</v>
      </c>
      <c r="D28" s="175" t="s">
        <v>24</v>
      </c>
      <c r="E28" s="175" t="s">
        <v>43</v>
      </c>
      <c r="F28" s="175">
        <v>76</v>
      </c>
      <c r="G28" s="175">
        <v>4.3879999999999999</v>
      </c>
      <c r="H28" s="175">
        <v>98.7</v>
      </c>
      <c r="I28" s="175">
        <v>736.81</v>
      </c>
      <c r="J28" s="176" t="s">
        <v>26</v>
      </c>
      <c r="K28" s="175" t="s">
        <v>43</v>
      </c>
      <c r="L28" s="175">
        <v>90</v>
      </c>
      <c r="M28" s="175">
        <v>4.9779999999999998</v>
      </c>
      <c r="N28" s="175">
        <v>98.2</v>
      </c>
      <c r="O28" s="175">
        <v>870.93</v>
      </c>
      <c r="P28" s="176" t="s">
        <v>26</v>
      </c>
      <c r="Q28" s="175" t="s">
        <v>23</v>
      </c>
      <c r="R28" s="175" t="s">
        <v>23</v>
      </c>
      <c r="S28" s="175" t="s">
        <v>23</v>
      </c>
      <c r="T28" s="175" t="s">
        <v>23</v>
      </c>
      <c r="U28" s="175" t="s">
        <v>23</v>
      </c>
      <c r="V28" s="179" t="s">
        <v>33</v>
      </c>
      <c r="W28" s="177">
        <v>0.84599999999999997</v>
      </c>
      <c r="X28" s="175" t="s">
        <v>23</v>
      </c>
      <c r="Y28" s="166" t="s">
        <v>78</v>
      </c>
      <c r="Z28" s="139" t="s">
        <v>79</v>
      </c>
    </row>
    <row r="29" spans="1:34" ht="34.5">
      <c r="A29" s="174" t="s">
        <v>80</v>
      </c>
      <c r="B29" s="175" t="s">
        <v>81</v>
      </c>
      <c r="C29" s="175" t="s">
        <v>24</v>
      </c>
      <c r="D29" s="175" t="s">
        <v>24</v>
      </c>
      <c r="E29" s="175" t="s">
        <v>25</v>
      </c>
      <c r="F29" s="175">
        <v>9</v>
      </c>
      <c r="G29" s="175">
        <v>1.3740000000000001</v>
      </c>
      <c r="H29" s="175">
        <v>74.23</v>
      </c>
      <c r="I29" s="175">
        <v>39.24</v>
      </c>
      <c r="J29" s="176" t="s">
        <v>26</v>
      </c>
      <c r="K29" s="175" t="s">
        <v>25</v>
      </c>
      <c r="L29" s="175">
        <v>11</v>
      </c>
      <c r="M29" s="175">
        <v>2.032</v>
      </c>
      <c r="N29" s="175">
        <v>80.44</v>
      </c>
      <c r="O29" s="175">
        <v>32.03</v>
      </c>
      <c r="P29" s="176" t="s">
        <v>26</v>
      </c>
      <c r="Q29" s="175" t="s">
        <v>25</v>
      </c>
      <c r="R29" s="175" t="s">
        <v>23</v>
      </c>
      <c r="S29" s="175" t="s">
        <v>23</v>
      </c>
      <c r="T29" s="175" t="s">
        <v>23</v>
      </c>
      <c r="U29" s="175" t="s">
        <v>23</v>
      </c>
      <c r="V29" s="179" t="s">
        <v>33</v>
      </c>
      <c r="W29" s="178">
        <v>1.2250000000000001</v>
      </c>
      <c r="X29" s="175" t="s">
        <v>23</v>
      </c>
      <c r="Y29" s="166" t="s">
        <v>82</v>
      </c>
      <c r="Z29" s="139" t="s">
        <v>83</v>
      </c>
    </row>
    <row r="30" spans="1:34" ht="34.5">
      <c r="A30" s="174" t="s">
        <v>84</v>
      </c>
      <c r="B30" s="175" t="s">
        <v>23</v>
      </c>
      <c r="C30" s="181" t="s">
        <v>85</v>
      </c>
      <c r="D30" s="175" t="s">
        <v>24</v>
      </c>
      <c r="E30" s="175" t="s">
        <v>25</v>
      </c>
      <c r="F30" s="175">
        <v>63</v>
      </c>
      <c r="G30" s="175">
        <v>4.851</v>
      </c>
      <c r="H30" s="175">
        <v>62.15</v>
      </c>
      <c r="I30" s="175">
        <v>864.92</v>
      </c>
      <c r="J30" s="176" t="s">
        <v>26</v>
      </c>
      <c r="K30" s="175" t="s">
        <v>25</v>
      </c>
      <c r="L30" s="175">
        <v>71</v>
      </c>
      <c r="M30" s="175">
        <v>4.6159999999999997</v>
      </c>
      <c r="N30" s="175">
        <v>57.03</v>
      </c>
      <c r="O30" s="175">
        <v>1127.95</v>
      </c>
      <c r="P30" s="176" t="s">
        <v>26</v>
      </c>
      <c r="Q30" s="175" t="s">
        <v>25</v>
      </c>
      <c r="R30" s="175">
        <v>150</v>
      </c>
      <c r="S30" s="175">
        <v>4.9550000000000001</v>
      </c>
      <c r="T30" s="175">
        <v>91.15</v>
      </c>
      <c r="U30" s="175">
        <v>1463.69</v>
      </c>
      <c r="V30" s="176" t="s">
        <v>26</v>
      </c>
      <c r="W30" s="177">
        <v>0.76700000000000002</v>
      </c>
      <c r="X30" s="178">
        <v>0.59099999999999997</v>
      </c>
      <c r="Y30" s="166" t="s">
        <v>27</v>
      </c>
      <c r="Z30" s="139" t="s">
        <v>23</v>
      </c>
      <c r="AA30" s="160" t="s">
        <v>25</v>
      </c>
      <c r="AB30" s="160">
        <v>71</v>
      </c>
      <c r="AC30" s="160">
        <v>4.8129999999999997</v>
      </c>
      <c r="AD30" s="160">
        <v>64.349999999999994</v>
      </c>
      <c r="AE30" s="160">
        <v>964.28</v>
      </c>
      <c r="AF30" s="160" t="s">
        <v>26</v>
      </c>
      <c r="AG30" s="161">
        <v>0.85489999999999999</v>
      </c>
      <c r="AH30" s="162" t="s">
        <v>73</v>
      </c>
    </row>
    <row r="31" spans="1:34" ht="34.5">
      <c r="A31" s="174" t="s">
        <v>86</v>
      </c>
      <c r="B31" s="175" t="s">
        <v>23</v>
      </c>
      <c r="C31" s="181" t="s">
        <v>85</v>
      </c>
      <c r="D31" s="175" t="s">
        <v>24</v>
      </c>
      <c r="E31" s="175" t="s">
        <v>25</v>
      </c>
      <c r="F31" s="175">
        <v>596</v>
      </c>
      <c r="G31" s="175">
        <v>4.9870000000000001</v>
      </c>
      <c r="H31" s="175">
        <v>55.47</v>
      </c>
      <c r="I31" s="175">
        <v>9759.27</v>
      </c>
      <c r="J31" s="176" t="s">
        <v>26</v>
      </c>
      <c r="K31" s="175" t="s">
        <v>25</v>
      </c>
      <c r="L31" s="175">
        <v>546</v>
      </c>
      <c r="M31" s="175">
        <v>4.8760000000000003</v>
      </c>
      <c r="N31" s="175">
        <v>54.3</v>
      </c>
      <c r="O31" s="175">
        <v>9086.27</v>
      </c>
      <c r="P31" s="176" t="s">
        <v>26</v>
      </c>
      <c r="Q31" s="175" t="s">
        <v>25</v>
      </c>
      <c r="R31" s="175">
        <v>816</v>
      </c>
      <c r="S31" s="175">
        <v>4.6619999999999999</v>
      </c>
      <c r="T31" s="175">
        <v>98.94</v>
      </c>
      <c r="U31" s="175">
        <v>7352.74</v>
      </c>
      <c r="V31" s="176" t="s">
        <v>26</v>
      </c>
      <c r="W31" s="178">
        <v>1.0740000000000001</v>
      </c>
      <c r="X31" s="178">
        <v>1.327</v>
      </c>
      <c r="Y31" s="166" t="s">
        <v>27</v>
      </c>
      <c r="Z31" s="139" t="s">
        <v>23</v>
      </c>
    </row>
    <row r="32" spans="1:34" ht="34.5">
      <c r="A32" s="174" t="s">
        <v>87</v>
      </c>
      <c r="B32" s="175" t="s">
        <v>23</v>
      </c>
      <c r="C32" s="181" t="s">
        <v>85</v>
      </c>
      <c r="D32" s="175" t="s">
        <v>24</v>
      </c>
      <c r="E32" s="175" t="s">
        <v>25</v>
      </c>
      <c r="F32" s="175">
        <v>114</v>
      </c>
      <c r="G32" s="175">
        <v>3.298</v>
      </c>
      <c r="H32" s="175">
        <v>98.53</v>
      </c>
      <c r="I32" s="175">
        <v>1110.3399999999999</v>
      </c>
      <c r="J32" s="176" t="s">
        <v>26</v>
      </c>
      <c r="K32" s="175" t="s">
        <v>25</v>
      </c>
      <c r="L32" s="175">
        <v>121</v>
      </c>
      <c r="M32" s="175">
        <v>3.6240000000000001</v>
      </c>
      <c r="N32" s="175">
        <v>98.63</v>
      </c>
      <c r="O32" s="175">
        <v>1159.21</v>
      </c>
      <c r="P32" s="176" t="s">
        <v>26</v>
      </c>
      <c r="Q32" s="175" t="s">
        <v>25</v>
      </c>
      <c r="R32" s="175">
        <v>280</v>
      </c>
      <c r="S32" s="175">
        <v>3.9860000000000002</v>
      </c>
      <c r="T32" s="175">
        <v>99.8</v>
      </c>
      <c r="U32" s="175">
        <v>2409.3000000000002</v>
      </c>
      <c r="V32" s="176" t="s">
        <v>26</v>
      </c>
      <c r="W32" s="178">
        <v>0.95799999999999996</v>
      </c>
      <c r="X32" s="178">
        <v>0.46100000000000002</v>
      </c>
      <c r="Y32" s="166" t="s">
        <v>27</v>
      </c>
      <c r="Z32" s="139" t="s">
        <v>23</v>
      </c>
    </row>
    <row r="33" spans="1:34" ht="34.5">
      <c r="A33" s="174" t="s">
        <v>88</v>
      </c>
      <c r="B33" s="175" t="s">
        <v>23</v>
      </c>
      <c r="C33" s="181" t="s">
        <v>85</v>
      </c>
      <c r="D33" s="175" t="s">
        <v>24</v>
      </c>
      <c r="E33" s="175" t="s">
        <v>43</v>
      </c>
      <c r="F33" s="175">
        <v>1</v>
      </c>
      <c r="G33" s="175">
        <v>2.899</v>
      </c>
      <c r="H33" s="175">
        <v>174.44</v>
      </c>
      <c r="I33" s="175">
        <v>5.65</v>
      </c>
      <c r="J33" s="179" t="s">
        <v>33</v>
      </c>
      <c r="K33" s="175" t="s">
        <v>43</v>
      </c>
      <c r="L33" s="175">
        <v>1</v>
      </c>
      <c r="M33" s="175">
        <v>0.46700000000000003</v>
      </c>
      <c r="N33" s="175">
        <v>175.63</v>
      </c>
      <c r="O33" s="175">
        <v>5.62</v>
      </c>
      <c r="P33" s="179" t="s">
        <v>33</v>
      </c>
      <c r="Q33" s="175" t="s">
        <v>44</v>
      </c>
      <c r="R33" s="175">
        <v>1</v>
      </c>
      <c r="S33" s="175">
        <v>1.4850000000000001</v>
      </c>
      <c r="T33" s="175">
        <v>117.76</v>
      </c>
      <c r="U33" s="175">
        <v>8.4</v>
      </c>
      <c r="V33" s="179" t="s">
        <v>33</v>
      </c>
      <c r="W33" s="178">
        <v>1.0049999999999999</v>
      </c>
      <c r="X33" s="178">
        <v>0.67300000000000004</v>
      </c>
      <c r="Y33" s="166" t="s">
        <v>78</v>
      </c>
      <c r="Z33" s="139" t="s">
        <v>23</v>
      </c>
    </row>
    <row r="34" spans="1:34" ht="34.5">
      <c r="A34" s="174" t="s">
        <v>89</v>
      </c>
      <c r="B34" s="175" t="s">
        <v>23</v>
      </c>
      <c r="C34" s="181" t="s">
        <v>85</v>
      </c>
      <c r="D34" s="175" t="s">
        <v>24</v>
      </c>
      <c r="E34" s="175" t="s">
        <v>43</v>
      </c>
      <c r="F34" s="175">
        <v>2</v>
      </c>
      <c r="G34" s="175">
        <v>1.042</v>
      </c>
      <c r="H34" s="175">
        <v>91.51</v>
      </c>
      <c r="I34" s="175">
        <v>21.55</v>
      </c>
      <c r="J34" s="176" t="s">
        <v>26</v>
      </c>
      <c r="K34" s="175" t="s">
        <v>43</v>
      </c>
      <c r="L34" s="175">
        <v>20</v>
      </c>
      <c r="M34" s="175">
        <v>1.3280000000000001</v>
      </c>
      <c r="N34" s="175">
        <v>99.55</v>
      </c>
      <c r="O34" s="175">
        <v>182.12</v>
      </c>
      <c r="P34" s="176" t="s">
        <v>26</v>
      </c>
      <c r="Q34" s="175" t="s">
        <v>44</v>
      </c>
      <c r="R34" s="175">
        <v>13</v>
      </c>
      <c r="S34" s="175">
        <v>4.8600000000000003</v>
      </c>
      <c r="T34" s="175">
        <v>82.32</v>
      </c>
      <c r="U34" s="175">
        <v>149.44</v>
      </c>
      <c r="V34" s="176" t="s">
        <v>26</v>
      </c>
      <c r="W34" s="177">
        <v>0.11799999999999999</v>
      </c>
      <c r="X34" s="178">
        <v>0.14399999999999999</v>
      </c>
      <c r="Y34" s="166" t="s">
        <v>78</v>
      </c>
      <c r="Z34" s="139" t="s">
        <v>23</v>
      </c>
      <c r="AA34" s="160" t="s">
        <v>43</v>
      </c>
      <c r="AB34" s="160">
        <v>2</v>
      </c>
      <c r="AC34" s="160">
        <v>1.0309999999999999</v>
      </c>
      <c r="AD34" s="160">
        <v>90.56</v>
      </c>
      <c r="AE34" s="160">
        <v>21.65</v>
      </c>
      <c r="AF34" s="160" t="s">
        <v>26</v>
      </c>
      <c r="AG34" s="161">
        <v>0.11890000000000001</v>
      </c>
      <c r="AH34" s="162" t="s">
        <v>62</v>
      </c>
    </row>
    <row r="35" spans="1:34" ht="34.5">
      <c r="A35" s="174" t="s">
        <v>90</v>
      </c>
      <c r="B35" s="175" t="s">
        <v>23</v>
      </c>
      <c r="C35" s="181" t="s">
        <v>85</v>
      </c>
      <c r="D35" s="175" t="s">
        <v>24</v>
      </c>
      <c r="E35" s="175" t="s">
        <v>25</v>
      </c>
      <c r="F35" s="175">
        <v>63</v>
      </c>
      <c r="G35" s="175">
        <v>4.8819999999999997</v>
      </c>
      <c r="H35" s="175">
        <v>62.48</v>
      </c>
      <c r="I35" s="175">
        <v>856.41</v>
      </c>
      <c r="J35" s="176" t="s">
        <v>26</v>
      </c>
      <c r="K35" s="175" t="s">
        <v>25</v>
      </c>
      <c r="L35" s="175">
        <v>65</v>
      </c>
      <c r="M35" s="175">
        <v>4.74</v>
      </c>
      <c r="N35" s="175">
        <v>69.63</v>
      </c>
      <c r="O35" s="175">
        <v>854.2</v>
      </c>
      <c r="P35" s="176" t="s">
        <v>26</v>
      </c>
      <c r="Q35" s="175" t="s">
        <v>23</v>
      </c>
      <c r="R35" s="175" t="s">
        <v>23</v>
      </c>
      <c r="S35" s="175" t="s">
        <v>23</v>
      </c>
      <c r="T35" s="175" t="s">
        <v>23</v>
      </c>
      <c r="U35" s="175" t="s">
        <v>23</v>
      </c>
      <c r="V35" s="179" t="s">
        <v>33</v>
      </c>
      <c r="W35" s="178">
        <v>1.0029999999999999</v>
      </c>
      <c r="X35" s="175" t="s">
        <v>23</v>
      </c>
      <c r="Y35" s="166" t="s">
        <v>27</v>
      </c>
      <c r="Z35" s="139" t="s">
        <v>79</v>
      </c>
    </row>
    <row r="36" spans="1:34" ht="34.5">
      <c r="A36" s="174" t="s">
        <v>91</v>
      </c>
      <c r="B36" s="175" t="s">
        <v>23</v>
      </c>
      <c r="C36" s="181" t="s">
        <v>92</v>
      </c>
      <c r="D36" s="175" t="s">
        <v>24</v>
      </c>
      <c r="E36" s="175" t="s">
        <v>25</v>
      </c>
      <c r="F36" s="175">
        <v>50</v>
      </c>
      <c r="G36" s="175">
        <v>4.9950000000000001</v>
      </c>
      <c r="H36" s="175">
        <v>91.29</v>
      </c>
      <c r="I36" s="175">
        <v>504.12</v>
      </c>
      <c r="J36" s="176" t="s">
        <v>26</v>
      </c>
      <c r="K36" s="175" t="s">
        <v>25</v>
      </c>
      <c r="L36" s="175">
        <v>46</v>
      </c>
      <c r="M36" s="175">
        <v>4.5190000000000001</v>
      </c>
      <c r="N36" s="175">
        <v>89.89</v>
      </c>
      <c r="O36" s="175">
        <v>476.09</v>
      </c>
      <c r="P36" s="176" t="s">
        <v>26</v>
      </c>
      <c r="Q36" s="175" t="s">
        <v>25</v>
      </c>
      <c r="R36" s="175">
        <v>68</v>
      </c>
      <c r="S36" s="175">
        <v>4.9989999999999997</v>
      </c>
      <c r="T36" s="175">
        <v>62.52</v>
      </c>
      <c r="U36" s="175">
        <v>932.95</v>
      </c>
      <c r="V36" s="176" t="s">
        <v>26</v>
      </c>
      <c r="W36" s="178">
        <v>1.0589999999999999</v>
      </c>
      <c r="X36" s="178">
        <v>0.54</v>
      </c>
      <c r="Y36" s="166" t="s">
        <v>27</v>
      </c>
      <c r="Z36" s="139" t="s">
        <v>23</v>
      </c>
    </row>
    <row r="37" spans="1:34" ht="34.5">
      <c r="A37" s="174" t="s">
        <v>93</v>
      </c>
      <c r="B37" s="175" t="s">
        <v>23</v>
      </c>
      <c r="C37" s="181" t="s">
        <v>92</v>
      </c>
      <c r="D37" s="175" t="s">
        <v>24</v>
      </c>
      <c r="E37" s="175" t="s">
        <v>25</v>
      </c>
      <c r="F37" s="175">
        <v>341</v>
      </c>
      <c r="G37" s="175">
        <v>4.992</v>
      </c>
      <c r="H37" s="175">
        <v>41.8</v>
      </c>
      <c r="I37" s="175">
        <v>7266.38</v>
      </c>
      <c r="J37" s="176" t="s">
        <v>26</v>
      </c>
      <c r="K37" s="175" t="s">
        <v>25</v>
      </c>
      <c r="L37" s="175">
        <v>336</v>
      </c>
      <c r="M37" s="175">
        <v>4.9729999999999999</v>
      </c>
      <c r="N37" s="175">
        <v>41.4</v>
      </c>
      <c r="O37" s="175">
        <v>7180.94</v>
      </c>
      <c r="P37" s="176" t="s">
        <v>26</v>
      </c>
      <c r="Q37" s="175" t="s">
        <v>25</v>
      </c>
      <c r="R37" s="175">
        <v>546</v>
      </c>
      <c r="S37" s="175">
        <v>4.9379999999999997</v>
      </c>
      <c r="T37" s="175">
        <v>72.599999999999994</v>
      </c>
      <c r="U37" s="175">
        <v>6233.22</v>
      </c>
      <c r="V37" s="176" t="s">
        <v>26</v>
      </c>
      <c r="W37" s="178">
        <v>1.012</v>
      </c>
      <c r="X37" s="178">
        <v>1.1659999999999999</v>
      </c>
      <c r="Y37" s="166" t="s">
        <v>27</v>
      </c>
      <c r="Z37" s="139" t="s">
        <v>23</v>
      </c>
    </row>
    <row r="38" spans="1:34" ht="34.5">
      <c r="A38" s="174" t="s">
        <v>94</v>
      </c>
      <c r="B38" s="175" t="s">
        <v>23</v>
      </c>
      <c r="C38" s="181" t="s">
        <v>92</v>
      </c>
      <c r="D38" s="175" t="s">
        <v>24</v>
      </c>
      <c r="E38" s="175" t="s">
        <v>25</v>
      </c>
      <c r="F38" s="175">
        <v>90</v>
      </c>
      <c r="G38" s="175">
        <v>4.66</v>
      </c>
      <c r="H38" s="175">
        <v>99.4</v>
      </c>
      <c r="I38" s="175">
        <v>856.49</v>
      </c>
      <c r="J38" s="176" t="s">
        <v>26</v>
      </c>
      <c r="K38" s="175" t="s">
        <v>25</v>
      </c>
      <c r="L38" s="175">
        <v>91</v>
      </c>
      <c r="M38" s="175">
        <v>4.7030000000000003</v>
      </c>
      <c r="N38" s="175">
        <v>99.7</v>
      </c>
      <c r="O38" s="175">
        <v>845.24</v>
      </c>
      <c r="P38" s="176" t="s">
        <v>26</v>
      </c>
      <c r="Q38" s="175" t="s">
        <v>25</v>
      </c>
      <c r="R38" s="175">
        <v>186</v>
      </c>
      <c r="S38" s="175">
        <v>4.93</v>
      </c>
      <c r="T38" s="175">
        <v>77.48</v>
      </c>
      <c r="U38" s="175">
        <v>2074.77</v>
      </c>
      <c r="V38" s="176" t="s">
        <v>26</v>
      </c>
      <c r="W38" s="178">
        <v>1.0129999999999999</v>
      </c>
      <c r="X38" s="178">
        <v>0.41299999999999998</v>
      </c>
      <c r="Y38" s="166" t="s">
        <v>27</v>
      </c>
      <c r="Z38" s="139" t="s">
        <v>23</v>
      </c>
    </row>
    <row r="39" spans="1:34" ht="34.5">
      <c r="A39" s="174" t="s">
        <v>95</v>
      </c>
      <c r="B39" s="175" t="s">
        <v>23</v>
      </c>
      <c r="C39" s="181" t="s">
        <v>92</v>
      </c>
      <c r="D39" s="175" t="s">
        <v>24</v>
      </c>
      <c r="E39" s="175" t="s">
        <v>43</v>
      </c>
      <c r="F39" s="175">
        <v>1</v>
      </c>
      <c r="G39" s="175">
        <v>1.5449999999999999</v>
      </c>
      <c r="H39" s="175">
        <v>138.53</v>
      </c>
      <c r="I39" s="175">
        <v>7.15</v>
      </c>
      <c r="J39" s="179" t="s">
        <v>33</v>
      </c>
      <c r="K39" s="175" t="s">
        <v>43</v>
      </c>
      <c r="L39" s="175">
        <v>1</v>
      </c>
      <c r="M39" s="175">
        <v>0.33</v>
      </c>
      <c r="N39" s="175">
        <v>134.02000000000001</v>
      </c>
      <c r="O39" s="175">
        <v>7.38</v>
      </c>
      <c r="P39" s="179" t="s">
        <v>33</v>
      </c>
      <c r="Q39" s="175" t="s">
        <v>44</v>
      </c>
      <c r="R39" s="175">
        <v>6</v>
      </c>
      <c r="S39" s="175">
        <v>4.8559999999999999</v>
      </c>
      <c r="T39" s="175">
        <v>66.569999999999993</v>
      </c>
      <c r="U39" s="175">
        <v>84.2</v>
      </c>
      <c r="V39" s="176" t="s">
        <v>26</v>
      </c>
      <c r="W39" s="178">
        <v>0.96899999999999997</v>
      </c>
      <c r="X39" s="178">
        <v>8.5000000000000006E-2</v>
      </c>
      <c r="Y39" s="166" t="s">
        <v>78</v>
      </c>
      <c r="Z39" s="139" t="s">
        <v>23</v>
      </c>
    </row>
    <row r="40" spans="1:34" ht="34.5">
      <c r="A40" s="174" t="s">
        <v>96</v>
      </c>
      <c r="B40" s="175" t="s">
        <v>23</v>
      </c>
      <c r="C40" s="181" t="s">
        <v>92</v>
      </c>
      <c r="D40" s="175" t="s">
        <v>24</v>
      </c>
      <c r="E40" s="175" t="s">
        <v>43</v>
      </c>
      <c r="F40" s="175">
        <v>14</v>
      </c>
      <c r="G40" s="175">
        <v>4.1070000000000002</v>
      </c>
      <c r="H40" s="175">
        <v>98.97</v>
      </c>
      <c r="I40" s="175">
        <v>135.41</v>
      </c>
      <c r="J40" s="176" t="s">
        <v>26</v>
      </c>
      <c r="K40" s="175" t="s">
        <v>25</v>
      </c>
      <c r="L40" s="175">
        <v>1</v>
      </c>
      <c r="M40" s="175">
        <v>1.4410000000000001</v>
      </c>
      <c r="N40" s="175">
        <v>116.47</v>
      </c>
      <c r="O40" s="175">
        <v>8.49</v>
      </c>
      <c r="P40" s="179" t="s">
        <v>33</v>
      </c>
      <c r="Q40" s="175" t="s">
        <v>25</v>
      </c>
      <c r="R40" s="175">
        <v>32</v>
      </c>
      <c r="S40" s="175">
        <v>4.915</v>
      </c>
      <c r="T40" s="175">
        <v>77.760000000000005</v>
      </c>
      <c r="U40" s="175">
        <v>371.6</v>
      </c>
      <c r="V40" s="176" t="s">
        <v>26</v>
      </c>
      <c r="W40" s="178">
        <v>15.949</v>
      </c>
      <c r="X40" s="178">
        <v>0.36399999999999999</v>
      </c>
      <c r="Y40" s="166" t="s">
        <v>78</v>
      </c>
      <c r="Z40" s="139" t="s">
        <v>23</v>
      </c>
    </row>
    <row r="41" spans="1:34" ht="34.5">
      <c r="A41" s="174" t="s">
        <v>97</v>
      </c>
      <c r="B41" s="175" t="s">
        <v>23</v>
      </c>
      <c r="C41" s="181" t="s">
        <v>92</v>
      </c>
      <c r="D41" s="175" t="s">
        <v>24</v>
      </c>
      <c r="E41" s="175" t="s">
        <v>25</v>
      </c>
      <c r="F41" s="175">
        <v>49</v>
      </c>
      <c r="G41" s="175">
        <v>4.7939999999999996</v>
      </c>
      <c r="H41" s="175">
        <v>85.94</v>
      </c>
      <c r="I41" s="175">
        <v>533.79999999999995</v>
      </c>
      <c r="J41" s="176" t="s">
        <v>26</v>
      </c>
      <c r="K41" s="175" t="s">
        <v>25</v>
      </c>
      <c r="L41" s="175">
        <v>46</v>
      </c>
      <c r="M41" s="175">
        <v>4.5940000000000003</v>
      </c>
      <c r="N41" s="175">
        <v>86.26</v>
      </c>
      <c r="O41" s="175">
        <v>492.75</v>
      </c>
      <c r="P41" s="176" t="s">
        <v>26</v>
      </c>
      <c r="Q41" s="175" t="s">
        <v>25</v>
      </c>
      <c r="R41" s="175">
        <v>66</v>
      </c>
      <c r="S41" s="175">
        <v>4.9400000000000004</v>
      </c>
      <c r="T41" s="175">
        <v>58.03</v>
      </c>
      <c r="U41" s="175">
        <v>977.72</v>
      </c>
      <c r="V41" s="176" t="s">
        <v>26</v>
      </c>
      <c r="W41" s="178">
        <v>1.083</v>
      </c>
      <c r="X41" s="178">
        <v>0.54600000000000004</v>
      </c>
      <c r="Y41" s="166" t="s">
        <v>27</v>
      </c>
      <c r="Z41" s="139" t="s">
        <v>23</v>
      </c>
    </row>
    <row r="42" spans="1:34" ht="34.5">
      <c r="A42" s="174" t="s">
        <v>98</v>
      </c>
      <c r="B42" s="175" t="s">
        <v>23</v>
      </c>
      <c r="C42" s="181" t="s">
        <v>92</v>
      </c>
      <c r="D42" s="175" t="s">
        <v>24</v>
      </c>
      <c r="E42" s="175" t="s">
        <v>25</v>
      </c>
      <c r="F42" s="175">
        <v>572</v>
      </c>
      <c r="G42" s="175">
        <v>4.048</v>
      </c>
      <c r="H42" s="175">
        <v>96.06</v>
      </c>
      <c r="I42" s="175">
        <v>5676.37</v>
      </c>
      <c r="J42" s="176" t="s">
        <v>26</v>
      </c>
      <c r="K42" s="175" t="s">
        <v>25</v>
      </c>
      <c r="L42" s="175">
        <v>522</v>
      </c>
      <c r="M42" s="175">
        <v>4.0419999999999998</v>
      </c>
      <c r="N42" s="175">
        <v>98.72</v>
      </c>
      <c r="O42" s="175">
        <v>4989.0600000000004</v>
      </c>
      <c r="P42" s="176" t="s">
        <v>26</v>
      </c>
      <c r="Q42" s="175" t="s">
        <v>23</v>
      </c>
      <c r="R42" s="175" t="s">
        <v>23</v>
      </c>
      <c r="S42" s="175" t="s">
        <v>23</v>
      </c>
      <c r="T42" s="175" t="s">
        <v>23</v>
      </c>
      <c r="U42" s="175" t="s">
        <v>23</v>
      </c>
      <c r="V42" s="179" t="s">
        <v>33</v>
      </c>
      <c r="W42" s="178">
        <v>1.1379999999999999</v>
      </c>
      <c r="X42" s="175" t="s">
        <v>23</v>
      </c>
      <c r="Y42" s="166" t="s">
        <v>27</v>
      </c>
      <c r="Z42" s="139" t="s">
        <v>79</v>
      </c>
    </row>
    <row r="43" spans="1:34" ht="34.5">
      <c r="A43" s="174" t="s">
        <v>99</v>
      </c>
      <c r="B43" s="175" t="s">
        <v>23</v>
      </c>
      <c r="C43" s="181" t="s">
        <v>92</v>
      </c>
      <c r="D43" s="175" t="s">
        <v>24</v>
      </c>
      <c r="E43" s="175" t="s">
        <v>25</v>
      </c>
      <c r="F43" s="175">
        <v>304</v>
      </c>
      <c r="G43" s="175">
        <v>4.9710000000000001</v>
      </c>
      <c r="H43" s="175">
        <v>35.9</v>
      </c>
      <c r="I43" s="175">
        <v>7358.13</v>
      </c>
      <c r="J43" s="176" t="s">
        <v>26</v>
      </c>
      <c r="K43" s="175" t="s">
        <v>25</v>
      </c>
      <c r="L43" s="175">
        <v>244</v>
      </c>
      <c r="M43" s="175">
        <v>4.9569999999999999</v>
      </c>
      <c r="N43" s="175">
        <v>42.36</v>
      </c>
      <c r="O43" s="175">
        <v>5070.6400000000003</v>
      </c>
      <c r="P43" s="176" t="s">
        <v>26</v>
      </c>
      <c r="Q43" s="175" t="s">
        <v>23</v>
      </c>
      <c r="R43" s="175" t="s">
        <v>23</v>
      </c>
      <c r="S43" s="175" t="s">
        <v>23</v>
      </c>
      <c r="T43" s="175" t="s">
        <v>23</v>
      </c>
      <c r="U43" s="175" t="s">
        <v>23</v>
      </c>
      <c r="V43" s="179" t="s">
        <v>33</v>
      </c>
      <c r="W43" s="178">
        <v>1.4510000000000001</v>
      </c>
      <c r="X43" s="175" t="s">
        <v>23</v>
      </c>
      <c r="Y43" s="166" t="s">
        <v>27</v>
      </c>
      <c r="Z43" s="139" t="s">
        <v>79</v>
      </c>
    </row>
    <row r="44" spans="1:34" ht="34.5">
      <c r="A44" s="174" t="s">
        <v>100</v>
      </c>
      <c r="B44" s="175" t="s">
        <v>23</v>
      </c>
      <c r="C44" s="181" t="s">
        <v>92</v>
      </c>
      <c r="D44" s="175" t="s">
        <v>24</v>
      </c>
      <c r="E44" s="175" t="s">
        <v>25</v>
      </c>
      <c r="F44" s="175">
        <v>306</v>
      </c>
      <c r="G44" s="175">
        <v>4.9950000000000001</v>
      </c>
      <c r="H44" s="175">
        <v>37.5</v>
      </c>
      <c r="I44" s="175">
        <v>7163.06</v>
      </c>
      <c r="J44" s="176" t="s">
        <v>26</v>
      </c>
      <c r="K44" s="175" t="s">
        <v>25</v>
      </c>
      <c r="L44" s="175">
        <v>246</v>
      </c>
      <c r="M44" s="175">
        <v>4.83</v>
      </c>
      <c r="N44" s="175">
        <v>44.03</v>
      </c>
      <c r="O44" s="175">
        <v>4954.8999999999996</v>
      </c>
      <c r="P44" s="176" t="s">
        <v>26</v>
      </c>
      <c r="Q44" s="175" t="s">
        <v>23</v>
      </c>
      <c r="R44" s="175" t="s">
        <v>23</v>
      </c>
      <c r="S44" s="175" t="s">
        <v>23</v>
      </c>
      <c r="T44" s="175" t="s">
        <v>23</v>
      </c>
      <c r="U44" s="175" t="s">
        <v>23</v>
      </c>
      <c r="V44" s="179" t="s">
        <v>33</v>
      </c>
      <c r="W44" s="178">
        <v>1.446</v>
      </c>
      <c r="X44" s="175" t="s">
        <v>23</v>
      </c>
      <c r="Y44" s="166" t="s">
        <v>27</v>
      </c>
      <c r="Z44" s="139" t="s">
        <v>79</v>
      </c>
    </row>
    <row r="45" spans="1:34">
      <c r="A45" s="180" t="s">
        <v>101</v>
      </c>
      <c r="B45" s="60"/>
      <c r="C45" s="181" t="s">
        <v>24</v>
      </c>
      <c r="D45" s="181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 cm="1">
        <f t="array" ref="W45">GEOMEAN(IF((W3:W44&lt;&gt;0)*(ISNUMBER(W3:W44))*(C3:C44=C45), W3:W44))</f>
        <v>2.0787477925594628</v>
      </c>
      <c r="X45" s="60" cm="1">
        <f t="array" ref="X45">GEOMEAN(IF((X$3:X$44&lt;&gt;0)*(ISNUMBER(X$3:X$44))*(C$3:C$44=C45), X$3:X$44))</f>
        <v>0.92537676128518798</v>
      </c>
    </row>
    <row r="46" spans="1:34">
      <c r="A46" s="180" t="s">
        <v>101</v>
      </c>
      <c r="B46" s="60"/>
      <c r="C46" s="181" t="s">
        <v>85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 cm="1">
        <f t="array" ref="W46">GEOMEAN(IF((W$3:W$44&lt;&gt;0)*(ISNUMBER(W$3:W$44))*(C$3:C$44=C46), W$3:W$44))</f>
        <v>0.67414351233152403</v>
      </c>
      <c r="X46" s="60" cm="1">
        <f t="array" ref="X46">GEOMEAN(IF((X$3:X$44&lt;&gt;0)*(ISNUMBER(X$3:X$44))*(C$3:C$44=C46), X$3:X$44))</f>
        <v>0.51157271970159346</v>
      </c>
    </row>
    <row r="47" spans="1:34">
      <c r="A47" s="180" t="s">
        <v>101</v>
      </c>
      <c r="B47" s="60"/>
      <c r="C47" s="181" t="s">
        <v>92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 cm="1">
        <f t="array" ref="W47">GEOMEAN(IF((W$3:W$44&lt;&gt;0)*(ISNUMBER(W$3:W$44))*(C$3:C$44=C47), W$3:W$44))</f>
        <v>1.5202945225581723</v>
      </c>
      <c r="X47" s="60" cm="1">
        <f t="array" ref="X47">GEOMEAN(IF((X$3:X$44&lt;&gt;0)*(ISNUMBER(X$3:X$44))*(C$3:C$44=C47), X$3:X$44))</f>
        <v>0.40469318005379573</v>
      </c>
    </row>
    <row r="49" spans="23:23">
      <c r="W49" t="s">
        <v>102</v>
      </c>
    </row>
  </sheetData>
  <mergeCells count="6">
    <mergeCell ref="Y1:Z1"/>
    <mergeCell ref="A1:D1"/>
    <mergeCell ref="E1:J1"/>
    <mergeCell ref="K1:P1"/>
    <mergeCell ref="Q1:V1"/>
    <mergeCell ref="W1:X1"/>
  </mergeCells>
  <conditionalFormatting sqref="W3:X44">
    <cfRule type="cellIs" dxfId="26" priority="1" operator="greaterThan">
      <formula>1</formula>
    </cfRule>
  </conditionalFormatting>
  <hyperlinks>
    <hyperlink ref="Y7" r:id="rId1" xr:uid="{B8442C25-BD5C-4F84-BD24-2CFABE5B6CF4}"/>
    <hyperlink ref="Y20" r:id="rId2" xr:uid="{2CAAF4F0-6C8B-47F2-8808-EB865187025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E652-0646-B046-B441-BC05036B1B5D}">
  <dimension ref="A1:R67"/>
  <sheetViews>
    <sheetView topLeftCell="A48" zoomScale="170" zoomScaleNormal="170" workbookViewId="0">
      <selection activeCell="A52" sqref="A52"/>
    </sheetView>
  </sheetViews>
  <sheetFormatPr defaultColWidth="11" defaultRowHeight="15.75" customHeight="1"/>
  <cols>
    <col min="1" max="1" width="37" style="7" customWidth="1"/>
    <col min="2" max="2" width="4.5" style="9" customWidth="1"/>
    <col min="3" max="3" width="9.875" style="9" customWidth="1"/>
    <col min="4" max="4" width="51.625" style="7" customWidth="1"/>
    <col min="5" max="5" width="9.875" style="9" customWidth="1"/>
    <col min="6" max="6" width="15.375" style="9" customWidth="1"/>
    <col min="7" max="7" width="13" style="9" customWidth="1"/>
    <col min="8" max="8" width="11.125" style="9" customWidth="1"/>
    <col min="9" max="9" width="23.375" style="9" customWidth="1"/>
    <col min="10" max="11" width="14.625" style="9" customWidth="1"/>
    <col min="12" max="12" width="11" style="9"/>
    <col min="13" max="13" width="11.625" style="9" bestFit="1" customWidth="1"/>
    <col min="14" max="15" width="11" style="9"/>
    <col min="16" max="16" width="16.875" style="9" customWidth="1"/>
    <col min="17" max="17" width="38.125" style="9" customWidth="1"/>
    <col min="18" max="16384" width="11" style="9"/>
  </cols>
  <sheetData>
    <row r="1" spans="1:18" ht="38.25" customHeight="1">
      <c r="A1" s="6" t="s">
        <v>103</v>
      </c>
      <c r="B1" s="14"/>
      <c r="E1" s="9" t="s">
        <v>104</v>
      </c>
      <c r="F1" s="9" t="s">
        <v>105</v>
      </c>
      <c r="G1" s="9" t="s">
        <v>106</v>
      </c>
      <c r="H1" s="257" t="s">
        <v>107</v>
      </c>
      <c r="I1" s="258"/>
      <c r="J1" s="258"/>
      <c r="K1" s="258"/>
      <c r="L1" s="257" t="s">
        <v>108</v>
      </c>
      <c r="M1" s="258"/>
      <c r="N1" s="258"/>
      <c r="O1" s="258"/>
      <c r="P1" s="258"/>
      <c r="Q1" s="258"/>
    </row>
    <row r="2" spans="1:18" ht="65.25" customHeight="1">
      <c r="H2" s="258"/>
      <c r="I2" s="258"/>
      <c r="J2" s="258"/>
      <c r="K2" s="258"/>
      <c r="L2" s="258"/>
      <c r="M2" s="258"/>
      <c r="N2" s="258"/>
      <c r="O2" s="258"/>
      <c r="P2" s="258"/>
      <c r="Q2" s="258"/>
    </row>
    <row r="3" spans="1:18" ht="15.75" customHeight="1">
      <c r="A3" s="255" t="s">
        <v>6</v>
      </c>
      <c r="B3" s="1"/>
      <c r="C3" s="1"/>
      <c r="D3" s="5"/>
      <c r="G3" s="40" t="s">
        <v>109</v>
      </c>
      <c r="H3" s="40"/>
      <c r="I3" s="40"/>
      <c r="J3" s="41"/>
      <c r="K3" s="3"/>
      <c r="L3" s="256" t="s">
        <v>110</v>
      </c>
      <c r="M3" s="256"/>
      <c r="N3" s="256"/>
      <c r="O3" s="256"/>
      <c r="P3" s="4"/>
      <c r="Q3" s="15"/>
    </row>
    <row r="4" spans="1:18" ht="15.75" customHeight="1">
      <c r="A4" s="255"/>
      <c r="B4" s="1"/>
      <c r="C4" s="14" t="s">
        <v>111</v>
      </c>
      <c r="D4" s="6" t="s">
        <v>112</v>
      </c>
      <c r="E4" s="1" t="s">
        <v>113</v>
      </c>
      <c r="F4" s="1" t="s">
        <v>9</v>
      </c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114</v>
      </c>
      <c r="Q4" s="16" t="s">
        <v>115</v>
      </c>
    </row>
    <row r="5" spans="1:18" ht="15.75" customHeight="1">
      <c r="A5" s="5"/>
      <c r="B5" s="1"/>
      <c r="E5" s="1" t="s">
        <v>116</v>
      </c>
      <c r="F5" s="1" t="s">
        <v>117</v>
      </c>
      <c r="G5" s="2"/>
      <c r="H5" s="2"/>
      <c r="I5" s="2"/>
      <c r="J5" s="3"/>
      <c r="K5" s="3"/>
      <c r="L5" s="15"/>
      <c r="M5" s="4"/>
      <c r="N5" s="4"/>
      <c r="O5" s="4"/>
      <c r="P5" s="4"/>
      <c r="Q5" s="15"/>
    </row>
    <row r="6" spans="1:18" ht="15.75" customHeight="1">
      <c r="A6" s="8" t="s">
        <v>22</v>
      </c>
      <c r="C6" s="9">
        <v>185</v>
      </c>
      <c r="D6" s="7" t="s">
        <v>118</v>
      </c>
      <c r="E6" s="9" t="s">
        <v>24</v>
      </c>
      <c r="F6" s="9" t="s">
        <v>24</v>
      </c>
      <c r="G6" s="17" t="s">
        <v>25</v>
      </c>
      <c r="H6" s="18">
        <v>11</v>
      </c>
      <c r="I6" s="18">
        <v>4.7469999999999999</v>
      </c>
      <c r="J6" s="19">
        <v>85.42</v>
      </c>
      <c r="K6" s="19">
        <v>119.54</v>
      </c>
      <c r="L6" s="15" t="s">
        <v>25</v>
      </c>
      <c r="M6" s="15">
        <v>63</v>
      </c>
      <c r="N6" s="15">
        <v>4.9889999999999999</v>
      </c>
      <c r="O6" s="15">
        <v>95.25</v>
      </c>
      <c r="P6" s="15">
        <v>611.57000000000005</v>
      </c>
      <c r="Q6" s="15"/>
    </row>
    <row r="7" spans="1:18" ht="15.75" customHeight="1">
      <c r="A7" s="8" t="s">
        <v>29</v>
      </c>
      <c r="C7" s="9">
        <v>185</v>
      </c>
      <c r="D7" s="7" t="s">
        <v>119</v>
      </c>
      <c r="E7" s="9" t="s">
        <v>24</v>
      </c>
      <c r="F7" s="9" t="s">
        <v>24</v>
      </c>
      <c r="G7" s="17" t="s">
        <v>25</v>
      </c>
      <c r="H7" s="18">
        <v>31</v>
      </c>
      <c r="I7" s="18">
        <v>1.8080000000000001</v>
      </c>
      <c r="J7" s="19">
        <v>27.97</v>
      </c>
      <c r="K7" s="19">
        <v>973.71</v>
      </c>
      <c r="L7" s="15" t="s">
        <v>25</v>
      </c>
      <c r="M7" s="15">
        <v>546</v>
      </c>
      <c r="N7" s="15">
        <v>4.9109999999999996</v>
      </c>
      <c r="O7" s="15">
        <v>80.2</v>
      </c>
      <c r="P7" s="15">
        <v>5932.79</v>
      </c>
      <c r="Q7" s="15"/>
    </row>
    <row r="8" spans="1:18" ht="15.75" customHeight="1">
      <c r="A8" s="8" t="s">
        <v>30</v>
      </c>
      <c r="C8" s="9">
        <v>185</v>
      </c>
      <c r="D8" s="7" t="s">
        <v>120</v>
      </c>
      <c r="E8" s="9" t="s">
        <v>24</v>
      </c>
      <c r="F8" s="9" t="s">
        <v>24</v>
      </c>
      <c r="G8" s="17" t="s">
        <v>25</v>
      </c>
      <c r="H8" s="18">
        <v>1</v>
      </c>
      <c r="I8" s="18">
        <v>0.38400000000000001</v>
      </c>
      <c r="J8" s="19">
        <v>73.42</v>
      </c>
      <c r="K8" s="19">
        <v>13.52</v>
      </c>
      <c r="L8" s="15" t="s">
        <v>25</v>
      </c>
      <c r="M8" s="15">
        <v>194</v>
      </c>
      <c r="N8" s="15">
        <v>4.9800000000000004</v>
      </c>
      <c r="O8" s="15">
        <v>90.76</v>
      </c>
      <c r="P8" s="15">
        <v>1897</v>
      </c>
      <c r="Q8" s="15"/>
    </row>
    <row r="9" spans="1:18" ht="15.75" customHeight="1">
      <c r="A9" s="8" t="s">
        <v>31</v>
      </c>
      <c r="C9" s="9">
        <v>185</v>
      </c>
      <c r="D9" s="7" t="s">
        <v>121</v>
      </c>
      <c r="E9" s="9" t="s">
        <v>24</v>
      </c>
      <c r="F9" s="9" t="s">
        <v>24</v>
      </c>
      <c r="G9" s="20" t="s">
        <v>122</v>
      </c>
      <c r="H9" s="20">
        <v>1</v>
      </c>
      <c r="I9" s="21">
        <v>6.726</v>
      </c>
      <c r="J9" s="21">
        <v>604.42999999999995</v>
      </c>
      <c r="K9" s="22">
        <v>3.27</v>
      </c>
      <c r="L9" s="23" t="s">
        <v>34</v>
      </c>
      <c r="M9" s="23">
        <v>1</v>
      </c>
      <c r="N9" s="23">
        <v>1.6579999999999999</v>
      </c>
      <c r="O9" s="23">
        <v>122.72</v>
      </c>
      <c r="P9" s="23">
        <v>8.0500000000000007</v>
      </c>
      <c r="Q9" s="15"/>
    </row>
    <row r="10" spans="1:18" ht="63.95">
      <c r="A10" s="8" t="s">
        <v>36</v>
      </c>
      <c r="B10" s="9">
        <v>1</v>
      </c>
      <c r="C10" s="9">
        <v>185</v>
      </c>
      <c r="D10" s="7" t="s">
        <v>123</v>
      </c>
      <c r="E10" s="9" t="s">
        <v>24</v>
      </c>
      <c r="F10" s="9" t="s">
        <v>24</v>
      </c>
      <c r="G10" s="24" t="s">
        <v>122</v>
      </c>
      <c r="H10" s="24"/>
      <c r="I10" s="24" t="s">
        <v>124</v>
      </c>
      <c r="J10" s="25"/>
      <c r="K10" s="25"/>
      <c r="L10" s="15" t="s">
        <v>34</v>
      </c>
      <c r="M10" s="15">
        <v>2</v>
      </c>
      <c r="N10" s="15">
        <v>1.2949999999999999</v>
      </c>
      <c r="O10" s="15">
        <v>97.04</v>
      </c>
      <c r="P10" s="15">
        <v>20.36</v>
      </c>
      <c r="Q10" s="15"/>
    </row>
    <row r="11" spans="1:18" ht="30" customHeight="1">
      <c r="A11" s="8" t="s">
        <v>40</v>
      </c>
      <c r="B11" s="9">
        <v>1</v>
      </c>
      <c r="C11" s="9" t="s">
        <v>125</v>
      </c>
      <c r="D11" s="7" t="s">
        <v>126</v>
      </c>
      <c r="E11" s="9" t="s">
        <v>24</v>
      </c>
      <c r="F11" s="9" t="s">
        <v>24</v>
      </c>
      <c r="G11" s="24" t="s">
        <v>122</v>
      </c>
      <c r="H11" s="24"/>
      <c r="I11" s="24" t="s">
        <v>124</v>
      </c>
      <c r="J11" s="25"/>
      <c r="K11" s="25"/>
      <c r="L11" s="26" t="s">
        <v>34</v>
      </c>
      <c r="M11" s="15">
        <v>8</v>
      </c>
      <c r="N11" s="15">
        <v>3.7770000000000001</v>
      </c>
      <c r="O11" s="15">
        <v>98.87</v>
      </c>
      <c r="P11" s="15">
        <v>78.069999999999993</v>
      </c>
      <c r="Q11" s="15"/>
    </row>
    <row r="12" spans="1:18" ht="15.75" customHeight="1">
      <c r="A12" s="8" t="s">
        <v>42</v>
      </c>
      <c r="C12" s="9" t="s">
        <v>125</v>
      </c>
      <c r="D12" s="7" t="s">
        <v>127</v>
      </c>
      <c r="E12" s="9" t="s">
        <v>24</v>
      </c>
      <c r="F12" s="9" t="s">
        <v>24</v>
      </c>
      <c r="G12" s="24" t="s">
        <v>128</v>
      </c>
      <c r="H12" s="24">
        <v>1</v>
      </c>
      <c r="I12" s="24">
        <v>4.1349999999999998</v>
      </c>
      <c r="J12" s="25">
        <v>307441</v>
      </c>
      <c r="K12" s="25">
        <v>3.29</v>
      </c>
      <c r="L12" s="26" t="s">
        <v>44</v>
      </c>
      <c r="M12" s="23">
        <v>1</v>
      </c>
      <c r="N12" s="23">
        <v>1.208</v>
      </c>
      <c r="O12" s="23">
        <v>103</v>
      </c>
      <c r="P12" s="23">
        <v>9.67</v>
      </c>
      <c r="Q12" s="15"/>
      <c r="R12" s="27" t="s">
        <v>129</v>
      </c>
    </row>
    <row r="13" spans="1:18" ht="15.75" customHeight="1">
      <c r="A13" s="8" t="s">
        <v>46</v>
      </c>
      <c r="B13" s="7"/>
      <c r="C13" s="7" t="s">
        <v>125</v>
      </c>
      <c r="D13" s="7" t="s">
        <v>130</v>
      </c>
      <c r="E13" s="9" t="s">
        <v>24</v>
      </c>
      <c r="F13" s="9" t="s">
        <v>24</v>
      </c>
      <c r="G13" s="24" t="s">
        <v>122</v>
      </c>
      <c r="H13" s="24">
        <v>1</v>
      </c>
      <c r="I13" s="24">
        <v>3.5310000000000001</v>
      </c>
      <c r="J13" s="25">
        <v>247.66</v>
      </c>
      <c r="K13" s="25">
        <v>7.98</v>
      </c>
      <c r="L13" s="26" t="s">
        <v>34</v>
      </c>
      <c r="M13" s="15">
        <v>2</v>
      </c>
      <c r="N13" s="15">
        <v>1.6160000000000001</v>
      </c>
      <c r="O13" s="15">
        <v>84.01</v>
      </c>
      <c r="P13" s="15">
        <v>23.39</v>
      </c>
      <c r="Q13" s="15"/>
      <c r="R13" s="27" t="s">
        <v>131</v>
      </c>
    </row>
    <row r="14" spans="1:18" ht="15.75" customHeight="1">
      <c r="A14" s="8" t="s">
        <v>47</v>
      </c>
      <c r="C14" s="9">
        <v>185</v>
      </c>
      <c r="D14" s="7" t="s">
        <v>132</v>
      </c>
      <c r="E14" s="9" t="s">
        <v>24</v>
      </c>
      <c r="F14" s="9" t="s">
        <v>24</v>
      </c>
      <c r="G14" s="24" t="s">
        <v>128</v>
      </c>
      <c r="H14" s="24"/>
      <c r="I14" s="24" t="s">
        <v>49</v>
      </c>
      <c r="J14" s="25"/>
      <c r="K14" s="25"/>
      <c r="L14" s="15" t="s">
        <v>44</v>
      </c>
      <c r="M14" s="15">
        <v>8</v>
      </c>
      <c r="N14" s="15">
        <v>4.8209999999999997</v>
      </c>
      <c r="O14" s="15">
        <v>59.2</v>
      </c>
      <c r="P14" s="15">
        <v>125.27</v>
      </c>
      <c r="Q14" s="15"/>
    </row>
    <row r="15" spans="1:18" ht="15.75" customHeight="1">
      <c r="A15" s="8" t="s">
        <v>51</v>
      </c>
      <c r="C15" s="9">
        <v>185</v>
      </c>
      <c r="D15" s="7" t="s">
        <v>133</v>
      </c>
      <c r="E15" s="9" t="s">
        <v>24</v>
      </c>
      <c r="F15" s="9" t="s">
        <v>24</v>
      </c>
      <c r="G15" s="17" t="s">
        <v>25</v>
      </c>
      <c r="H15" s="17">
        <v>26</v>
      </c>
      <c r="I15" s="17">
        <v>0.74</v>
      </c>
      <c r="J15" s="28">
        <v>29.51</v>
      </c>
      <c r="K15" s="28">
        <v>758.29</v>
      </c>
      <c r="L15" s="15" t="s">
        <v>25</v>
      </c>
      <c r="M15" s="15">
        <v>640</v>
      </c>
      <c r="N15" s="29">
        <v>3.4249999999999998</v>
      </c>
      <c r="O15" s="29">
        <v>99.81</v>
      </c>
      <c r="P15" s="29">
        <v>5575.87</v>
      </c>
      <c r="Q15" s="15"/>
    </row>
    <row r="16" spans="1:18" ht="15.75" customHeight="1">
      <c r="A16" s="8" t="s">
        <v>52</v>
      </c>
      <c r="C16" s="9" t="s">
        <v>125</v>
      </c>
      <c r="D16" s="7" t="s">
        <v>134</v>
      </c>
      <c r="E16" s="9" t="s">
        <v>24</v>
      </c>
      <c r="F16" s="9" t="s">
        <v>24</v>
      </c>
      <c r="G16" s="17" t="s">
        <v>25</v>
      </c>
      <c r="H16" s="17">
        <v>21</v>
      </c>
      <c r="I16" s="17">
        <v>4.3019999999999996</v>
      </c>
      <c r="J16" s="28">
        <v>71.06</v>
      </c>
      <c r="K16" s="28">
        <v>278.36</v>
      </c>
      <c r="L16" s="26" t="s">
        <v>25</v>
      </c>
      <c r="M16" s="15">
        <v>152</v>
      </c>
      <c r="N16" s="15">
        <v>4.9870000000000001</v>
      </c>
      <c r="O16" s="15">
        <v>84.07</v>
      </c>
      <c r="P16" s="15">
        <v>1600.89</v>
      </c>
      <c r="Q16" s="15"/>
    </row>
    <row r="17" spans="1:18" ht="15.75" customHeight="1">
      <c r="A17" s="8" t="s">
        <v>54</v>
      </c>
      <c r="C17" s="9">
        <v>185</v>
      </c>
      <c r="D17" s="7" t="s">
        <v>135</v>
      </c>
      <c r="E17" s="9" t="s">
        <v>24</v>
      </c>
      <c r="F17" s="9" t="s">
        <v>24</v>
      </c>
      <c r="G17" s="24" t="s">
        <v>128</v>
      </c>
      <c r="H17" s="24">
        <v>1</v>
      </c>
      <c r="I17" s="24">
        <v>1.4550000000000001</v>
      </c>
      <c r="J17" s="25">
        <v>130.31</v>
      </c>
      <c r="K17" s="25">
        <v>15.2</v>
      </c>
      <c r="L17" s="15" t="s">
        <v>44</v>
      </c>
      <c r="M17" s="15">
        <v>22</v>
      </c>
      <c r="N17" s="15">
        <v>1.806</v>
      </c>
      <c r="O17" s="15">
        <v>99.77</v>
      </c>
      <c r="P17" s="15">
        <v>210.46</v>
      </c>
      <c r="Q17" s="15" t="s">
        <v>136</v>
      </c>
      <c r="R17" s="27" t="s">
        <v>137</v>
      </c>
    </row>
    <row r="18" spans="1:18" ht="15.75" customHeight="1">
      <c r="A18" s="8" t="s">
        <v>57</v>
      </c>
      <c r="C18" s="9" t="s">
        <v>125</v>
      </c>
      <c r="D18" s="7" t="s">
        <v>138</v>
      </c>
      <c r="E18" s="9" t="s">
        <v>24</v>
      </c>
      <c r="F18" s="9" t="s">
        <v>24</v>
      </c>
      <c r="G18" s="17" t="s">
        <v>25</v>
      </c>
      <c r="H18" s="17">
        <v>1</v>
      </c>
      <c r="I18" s="17">
        <v>1.056</v>
      </c>
      <c r="J18" s="28">
        <v>93.69</v>
      </c>
      <c r="K18" s="28">
        <v>10.98</v>
      </c>
      <c r="L18" s="26" t="s">
        <v>25</v>
      </c>
      <c r="M18" s="15">
        <v>14</v>
      </c>
      <c r="N18" s="15">
        <v>1.66</v>
      </c>
      <c r="O18" s="15">
        <v>96.69</v>
      </c>
      <c r="P18" s="15">
        <v>131.36000000000001</v>
      </c>
      <c r="Q18" s="15"/>
    </row>
    <row r="19" spans="1:18" ht="15.75" customHeight="1">
      <c r="A19" s="8" t="s">
        <v>58</v>
      </c>
      <c r="C19" s="9">
        <v>185</v>
      </c>
      <c r="D19" s="7" t="s">
        <v>139</v>
      </c>
      <c r="E19" s="9" t="s">
        <v>24</v>
      </c>
      <c r="F19" s="9" t="s">
        <v>24</v>
      </c>
      <c r="G19" s="24" t="s">
        <v>128</v>
      </c>
      <c r="H19" s="24">
        <v>1</v>
      </c>
      <c r="I19" s="24">
        <v>1.762</v>
      </c>
      <c r="J19" s="25">
        <v>207.64</v>
      </c>
      <c r="K19" s="25">
        <v>11.92</v>
      </c>
      <c r="L19" s="15" t="s">
        <v>44</v>
      </c>
      <c r="M19" s="15">
        <v>16</v>
      </c>
      <c r="N19" s="15">
        <v>4.7889999999999997</v>
      </c>
      <c r="O19" s="15">
        <v>75.180000000000007</v>
      </c>
      <c r="P19" s="15">
        <v>200.5</v>
      </c>
      <c r="Q19" s="15" t="s">
        <v>140</v>
      </c>
    </row>
    <row r="20" spans="1:18" ht="15.75" customHeight="1">
      <c r="A20" s="8" t="s">
        <v>59</v>
      </c>
      <c r="B20" s="9">
        <v>1</v>
      </c>
      <c r="C20" s="9">
        <v>185</v>
      </c>
      <c r="D20" s="7" t="s">
        <v>141</v>
      </c>
      <c r="E20" s="9" t="s">
        <v>24</v>
      </c>
      <c r="F20" s="9" t="s">
        <v>24</v>
      </c>
      <c r="G20" s="17" t="s">
        <v>25</v>
      </c>
      <c r="H20" s="17">
        <v>11</v>
      </c>
      <c r="I20" s="17">
        <v>2.399</v>
      </c>
      <c r="J20" s="28">
        <v>96.16</v>
      </c>
      <c r="K20" s="28">
        <v>111.54</v>
      </c>
      <c r="L20" s="15" t="s">
        <v>25</v>
      </c>
      <c r="M20" s="15">
        <v>89</v>
      </c>
      <c r="N20" s="15">
        <v>4.9489999999999998</v>
      </c>
      <c r="O20" s="15">
        <v>85.14</v>
      </c>
      <c r="P20" s="15">
        <v>546.47</v>
      </c>
      <c r="Q20" s="15"/>
    </row>
    <row r="21" spans="1:18" ht="15.75" customHeight="1">
      <c r="A21" s="8" t="s">
        <v>60</v>
      </c>
      <c r="C21" s="9">
        <v>185</v>
      </c>
      <c r="D21" s="7" t="s">
        <v>142</v>
      </c>
      <c r="E21" s="9" t="s">
        <v>24</v>
      </c>
      <c r="F21" s="9" t="s">
        <v>24</v>
      </c>
      <c r="G21" s="24" t="s">
        <v>128</v>
      </c>
      <c r="H21" s="24">
        <v>1</v>
      </c>
      <c r="I21" s="24">
        <v>1.7370000000000001</v>
      </c>
      <c r="J21" s="25">
        <v>141</v>
      </c>
      <c r="K21" s="25">
        <v>14.03</v>
      </c>
      <c r="L21" s="15" t="s">
        <v>44</v>
      </c>
      <c r="M21" s="15">
        <v>16</v>
      </c>
      <c r="N21" s="15">
        <v>0.96799999999999997</v>
      </c>
      <c r="O21" s="15">
        <v>67.900000000000006</v>
      </c>
      <c r="P21" s="15">
        <v>220.11</v>
      </c>
      <c r="Q21" s="15"/>
    </row>
    <row r="22" spans="1:18" ht="15.75" customHeight="1">
      <c r="A22" s="8" t="s">
        <v>61</v>
      </c>
      <c r="C22" s="9">
        <v>185</v>
      </c>
      <c r="D22" s="7" t="s">
        <v>143</v>
      </c>
      <c r="E22" s="9" t="s">
        <v>24</v>
      </c>
      <c r="F22" s="9" t="s">
        <v>24</v>
      </c>
      <c r="G22" s="17" t="s">
        <v>128</v>
      </c>
      <c r="H22" s="30">
        <v>11</v>
      </c>
      <c r="I22" s="30">
        <v>2.6930000000000001</v>
      </c>
      <c r="J22" s="30">
        <v>90.66</v>
      </c>
      <c r="K22" s="19">
        <v>112.89</v>
      </c>
      <c r="L22" s="15" t="s">
        <v>44</v>
      </c>
      <c r="M22" s="15">
        <v>21</v>
      </c>
      <c r="N22" s="15">
        <v>0.89400000000000002</v>
      </c>
      <c r="O22" s="15">
        <v>100.48</v>
      </c>
      <c r="P22" s="15">
        <v>203.45</v>
      </c>
      <c r="Q22" s="15"/>
    </row>
    <row r="23" spans="1:18" ht="15.75" customHeight="1">
      <c r="A23" s="8" t="s">
        <v>63</v>
      </c>
      <c r="C23" s="9">
        <v>185</v>
      </c>
      <c r="D23" s="7" t="s">
        <v>144</v>
      </c>
      <c r="E23" s="9" t="s">
        <v>24</v>
      </c>
      <c r="F23" s="9" t="s">
        <v>24</v>
      </c>
      <c r="G23" s="24" t="s">
        <v>128</v>
      </c>
      <c r="H23" s="24">
        <v>1</v>
      </c>
      <c r="I23" s="24">
        <v>0.64700000000000002</v>
      </c>
      <c r="J23" s="25">
        <v>4129</v>
      </c>
      <c r="K23" s="25">
        <v>16.62</v>
      </c>
      <c r="L23" s="15" t="s">
        <v>44</v>
      </c>
      <c r="M23" s="15">
        <v>23</v>
      </c>
      <c r="N23" s="15">
        <v>1.899</v>
      </c>
      <c r="O23" s="15">
        <v>98.89</v>
      </c>
      <c r="P23" s="15">
        <v>228.5</v>
      </c>
      <c r="Q23" s="15" t="s">
        <v>140</v>
      </c>
      <c r="R23" s="27" t="s">
        <v>145</v>
      </c>
    </row>
    <row r="24" spans="1:18" ht="15.75" customHeight="1">
      <c r="A24" s="8" t="s">
        <v>146</v>
      </c>
      <c r="C24" s="9">
        <v>185</v>
      </c>
      <c r="D24" s="7" t="s">
        <v>147</v>
      </c>
      <c r="E24" s="9" t="s">
        <v>24</v>
      </c>
      <c r="F24" s="9" t="s">
        <v>24</v>
      </c>
      <c r="G24" s="31" t="s">
        <v>148</v>
      </c>
      <c r="H24" s="31"/>
      <c r="I24" s="31"/>
      <c r="J24" s="32"/>
      <c r="K24" s="32"/>
      <c r="L24" s="33" t="s">
        <v>34</v>
      </c>
      <c r="M24" s="15">
        <v>30</v>
      </c>
      <c r="N24" s="15">
        <v>3.895</v>
      </c>
      <c r="O24" s="15">
        <v>99.12</v>
      </c>
      <c r="P24" s="15">
        <v>291.7</v>
      </c>
      <c r="Q24" s="15" t="s">
        <v>140</v>
      </c>
    </row>
    <row r="25" spans="1:18" ht="15.75" customHeight="1">
      <c r="A25" s="8" t="s">
        <v>149</v>
      </c>
      <c r="C25" s="9">
        <v>185</v>
      </c>
      <c r="D25" s="7" t="s">
        <v>150</v>
      </c>
      <c r="E25" s="9" t="s">
        <v>24</v>
      </c>
      <c r="F25" s="9" t="s">
        <v>24</v>
      </c>
      <c r="G25" s="31" t="s">
        <v>148</v>
      </c>
      <c r="H25" s="31"/>
      <c r="I25" s="31"/>
      <c r="J25" s="32"/>
      <c r="K25" s="32"/>
      <c r="L25" s="15" t="s">
        <v>44</v>
      </c>
      <c r="M25" s="15">
        <v>23</v>
      </c>
      <c r="N25" s="15">
        <v>2.02</v>
      </c>
      <c r="O25" s="15">
        <v>98.57</v>
      </c>
      <c r="P25" s="15">
        <v>228.94</v>
      </c>
      <c r="Q25" s="15" t="s">
        <v>140</v>
      </c>
    </row>
    <row r="26" spans="1:18" ht="15.75" customHeight="1">
      <c r="A26" s="8" t="s">
        <v>67</v>
      </c>
      <c r="C26" s="9" t="s">
        <v>125</v>
      </c>
      <c r="D26" s="7" t="s">
        <v>151</v>
      </c>
      <c r="E26" s="9" t="s">
        <v>24</v>
      </c>
      <c r="F26" s="9" t="s">
        <v>24</v>
      </c>
      <c r="G26" s="17" t="s">
        <v>25</v>
      </c>
      <c r="H26" s="17">
        <v>16</v>
      </c>
      <c r="I26" s="17">
        <v>1.397</v>
      </c>
      <c r="J26" s="28">
        <v>32.700000000000003</v>
      </c>
      <c r="K26" s="28">
        <v>398.1</v>
      </c>
      <c r="L26" s="26" t="s">
        <v>25</v>
      </c>
      <c r="M26" s="15">
        <v>312</v>
      </c>
      <c r="N26" s="15">
        <v>4.2709999999999999</v>
      </c>
      <c r="O26" s="15">
        <v>99.56</v>
      </c>
      <c r="P26" s="15">
        <v>2775.37</v>
      </c>
      <c r="Q26" s="15"/>
    </row>
    <row r="27" spans="1:18" ht="15.75" customHeight="1">
      <c r="A27" s="8" t="s">
        <v>68</v>
      </c>
      <c r="C27" s="9" t="s">
        <v>125</v>
      </c>
      <c r="D27" s="7" t="s">
        <v>152</v>
      </c>
      <c r="E27" s="9" t="s">
        <v>24</v>
      </c>
      <c r="F27" s="9" t="s">
        <v>24</v>
      </c>
      <c r="G27" s="17" t="s">
        <v>25</v>
      </c>
      <c r="H27" s="17">
        <v>16</v>
      </c>
      <c r="I27" s="17">
        <v>3.7509999999999999</v>
      </c>
      <c r="J27" s="28">
        <v>61.5</v>
      </c>
      <c r="K27" s="28">
        <v>245.11</v>
      </c>
      <c r="L27" s="26" t="s">
        <v>25</v>
      </c>
      <c r="M27" s="15">
        <v>134</v>
      </c>
      <c r="N27" s="15">
        <v>4.8959999999999999</v>
      </c>
      <c r="O27" s="15">
        <v>90.71</v>
      </c>
      <c r="P27" s="15">
        <v>1307.1300000000001</v>
      </c>
      <c r="Q27" s="15"/>
    </row>
    <row r="28" spans="1:18" ht="15.75" customHeight="1">
      <c r="A28" s="8" t="s">
        <v>69</v>
      </c>
      <c r="C28" s="9" t="s">
        <v>125</v>
      </c>
      <c r="D28" s="7" t="s">
        <v>153</v>
      </c>
      <c r="E28" s="9" t="s">
        <v>24</v>
      </c>
      <c r="F28" s="9" t="s">
        <v>24</v>
      </c>
      <c r="G28" s="17" t="s">
        <v>25</v>
      </c>
      <c r="H28" s="34">
        <v>11</v>
      </c>
      <c r="I28" s="34">
        <v>4.4720000000000004</v>
      </c>
      <c r="J28" s="35">
        <v>90.48</v>
      </c>
      <c r="K28" s="28">
        <v>113.94</v>
      </c>
      <c r="L28" s="26" t="s">
        <v>25</v>
      </c>
      <c r="M28" s="15">
        <v>67</v>
      </c>
      <c r="N28" s="15">
        <v>4.9930000000000003</v>
      </c>
      <c r="O28" s="15">
        <v>99.9</v>
      </c>
      <c r="P28" s="15">
        <v>609.70000000000005</v>
      </c>
      <c r="Q28" s="15"/>
    </row>
    <row r="29" spans="1:18" ht="15.75" customHeight="1">
      <c r="A29" s="8" t="s">
        <v>71</v>
      </c>
      <c r="C29" s="9" t="s">
        <v>125</v>
      </c>
      <c r="D29" s="7" t="s">
        <v>154</v>
      </c>
      <c r="E29" s="9" t="s">
        <v>24</v>
      </c>
      <c r="F29" s="9" t="s">
        <v>24</v>
      </c>
      <c r="G29" s="28" t="s">
        <v>25</v>
      </c>
      <c r="H29" s="17">
        <v>1</v>
      </c>
      <c r="I29" s="17">
        <v>0.76</v>
      </c>
      <c r="J29" s="28">
        <v>74.55</v>
      </c>
      <c r="K29" s="19">
        <v>13.29</v>
      </c>
      <c r="L29" s="26" t="s">
        <v>25</v>
      </c>
      <c r="M29" s="15">
        <v>56</v>
      </c>
      <c r="N29" s="15">
        <v>4.7450000000000001</v>
      </c>
      <c r="O29" s="15">
        <v>81.36</v>
      </c>
      <c r="P29" s="15">
        <v>476.17</v>
      </c>
      <c r="Q29" s="15"/>
    </row>
    <row r="30" spans="1:18" ht="15.75" customHeight="1">
      <c r="A30" s="8" t="s">
        <v>72</v>
      </c>
      <c r="C30" s="9">
        <v>185</v>
      </c>
      <c r="D30" s="7" t="s">
        <v>155</v>
      </c>
      <c r="E30" s="9" t="s">
        <v>24</v>
      </c>
      <c r="F30" s="9" t="s">
        <v>24</v>
      </c>
      <c r="G30" s="28" t="s">
        <v>25</v>
      </c>
      <c r="H30" s="36">
        <v>11</v>
      </c>
      <c r="I30" s="36">
        <v>4.6369999999999996</v>
      </c>
      <c r="J30" s="37">
        <v>92.92</v>
      </c>
      <c r="K30" s="19">
        <v>109.98</v>
      </c>
      <c r="L30" s="15" t="s">
        <v>25</v>
      </c>
      <c r="M30" s="15">
        <v>61</v>
      </c>
      <c r="N30" s="15">
        <v>4.8869999999999996</v>
      </c>
      <c r="O30" s="15">
        <v>89.39</v>
      </c>
      <c r="P30" s="15">
        <v>624.17999999999995</v>
      </c>
      <c r="Q30" s="15"/>
    </row>
    <row r="31" spans="1:18" ht="15.75" customHeight="1">
      <c r="A31" s="8" t="s">
        <v>74</v>
      </c>
      <c r="B31" s="9" t="s">
        <v>156</v>
      </c>
      <c r="C31" s="9" t="s">
        <v>125</v>
      </c>
      <c r="D31" s="7" t="s">
        <v>157</v>
      </c>
      <c r="E31" s="9" t="s">
        <v>24</v>
      </c>
      <c r="F31" s="9" t="s">
        <v>24</v>
      </c>
      <c r="G31" s="28" t="s">
        <v>25</v>
      </c>
      <c r="H31" s="17">
        <v>26</v>
      </c>
      <c r="I31" s="17">
        <v>4.282</v>
      </c>
      <c r="J31" s="28">
        <v>60.52</v>
      </c>
      <c r="K31" s="28">
        <v>392.85</v>
      </c>
      <c r="L31" s="26" t="s">
        <v>25</v>
      </c>
      <c r="M31" s="15">
        <v>210</v>
      </c>
      <c r="N31" s="15">
        <v>4.9740000000000002</v>
      </c>
      <c r="O31" s="15">
        <v>89.5</v>
      </c>
      <c r="P31" s="15">
        <v>1842.45</v>
      </c>
      <c r="Q31" s="15"/>
    </row>
    <row r="32" spans="1:18" ht="15.75" customHeight="1">
      <c r="A32" s="8" t="s">
        <v>75</v>
      </c>
      <c r="B32" s="9" t="s">
        <v>156</v>
      </c>
      <c r="C32" s="9" t="s">
        <v>125</v>
      </c>
      <c r="D32" s="7" t="s">
        <v>158</v>
      </c>
      <c r="E32" s="9" t="s">
        <v>24</v>
      </c>
      <c r="F32" s="9" t="s">
        <v>24</v>
      </c>
      <c r="G32" s="24" t="s">
        <v>25</v>
      </c>
      <c r="H32" s="20">
        <v>1</v>
      </c>
      <c r="I32" s="20">
        <v>1.083</v>
      </c>
      <c r="J32" s="38">
        <v>164.82</v>
      </c>
      <c r="K32" s="25">
        <v>17.98</v>
      </c>
      <c r="L32" s="26" t="s">
        <v>25</v>
      </c>
      <c r="M32" s="15">
        <v>16</v>
      </c>
      <c r="N32" s="15">
        <v>2.004</v>
      </c>
      <c r="O32" s="15">
        <v>99.53</v>
      </c>
      <c r="P32" s="15">
        <v>147.38999999999999</v>
      </c>
      <c r="Q32" s="15"/>
    </row>
    <row r="33" spans="1:18" ht="15.75" customHeight="1">
      <c r="A33" s="10" t="s">
        <v>80</v>
      </c>
      <c r="B33" s="9" t="s">
        <v>159</v>
      </c>
      <c r="C33" s="9">
        <v>185</v>
      </c>
      <c r="D33" s="7" t="s">
        <v>160</v>
      </c>
      <c r="E33" s="9" t="s">
        <v>24</v>
      </c>
      <c r="F33" s="9" t="s">
        <v>24</v>
      </c>
      <c r="G33" s="24" t="s">
        <v>25</v>
      </c>
      <c r="H33" s="24">
        <v>1</v>
      </c>
      <c r="I33" s="24">
        <v>1.3149999999999999</v>
      </c>
      <c r="J33" s="25">
        <v>114.94</v>
      </c>
      <c r="K33" s="25">
        <v>41.51</v>
      </c>
      <c r="L33" s="15" t="s">
        <v>25</v>
      </c>
      <c r="M33" s="15"/>
      <c r="N33" s="15"/>
      <c r="O33" s="15"/>
      <c r="P33" s="15"/>
      <c r="Q33" s="15" t="s">
        <v>161</v>
      </c>
    </row>
    <row r="34" spans="1:18" ht="15.75" customHeight="1">
      <c r="G34" s="17"/>
      <c r="H34" s="17"/>
      <c r="I34" s="17"/>
      <c r="J34" s="28"/>
      <c r="K34" s="28"/>
      <c r="L34" s="15"/>
      <c r="M34" s="15"/>
      <c r="N34" s="15"/>
      <c r="O34" s="15"/>
      <c r="P34" s="15"/>
      <c r="Q34" s="15"/>
    </row>
    <row r="35" spans="1:18" ht="15.75" customHeight="1">
      <c r="A35" s="11" t="s">
        <v>162</v>
      </c>
      <c r="C35" s="9">
        <v>185</v>
      </c>
      <c r="D35" s="7" t="s">
        <v>163</v>
      </c>
      <c r="G35" s="31" t="s">
        <v>148</v>
      </c>
      <c r="H35" s="31"/>
      <c r="I35" s="31"/>
      <c r="J35" s="32"/>
      <c r="K35" s="32"/>
      <c r="L35" s="15" t="s">
        <v>34</v>
      </c>
      <c r="M35" s="15">
        <v>4</v>
      </c>
      <c r="N35" s="15">
        <v>4.63</v>
      </c>
      <c r="O35" s="15">
        <v>99.44</v>
      </c>
      <c r="P35" s="15">
        <v>38.51</v>
      </c>
      <c r="Q35" s="15"/>
    </row>
    <row r="36" spans="1:18" ht="15.75" customHeight="1">
      <c r="A36" s="11" t="s">
        <v>164</v>
      </c>
      <c r="C36" s="9">
        <v>185</v>
      </c>
      <c r="D36" s="7" t="s">
        <v>165</v>
      </c>
      <c r="G36" s="31" t="s">
        <v>148</v>
      </c>
      <c r="H36" s="31"/>
      <c r="I36" s="31"/>
      <c r="J36" s="32"/>
      <c r="K36" s="32"/>
      <c r="L36" s="15" t="s">
        <v>34</v>
      </c>
      <c r="M36" s="15">
        <v>1</v>
      </c>
      <c r="N36" s="15">
        <v>1.9810000000000001</v>
      </c>
      <c r="O36" s="15">
        <v>72.319999999999993</v>
      </c>
      <c r="P36" s="15">
        <v>13.49</v>
      </c>
      <c r="Q36" s="15"/>
    </row>
    <row r="37" spans="1:18" ht="63.95">
      <c r="A37" s="11" t="s">
        <v>166</v>
      </c>
      <c r="C37" s="9">
        <v>185</v>
      </c>
      <c r="D37" s="7" t="s">
        <v>167</v>
      </c>
      <c r="G37" s="31" t="s">
        <v>148</v>
      </c>
      <c r="H37" s="31"/>
      <c r="I37" s="31"/>
      <c r="J37" s="32"/>
      <c r="K37" s="32"/>
      <c r="L37" s="15" t="s">
        <v>34</v>
      </c>
      <c r="M37" s="15">
        <v>1</v>
      </c>
      <c r="N37" s="15">
        <v>1.9550000000000001</v>
      </c>
      <c r="O37" s="15">
        <v>74.69</v>
      </c>
      <c r="P37" s="15">
        <v>13.08</v>
      </c>
      <c r="Q37" s="15"/>
    </row>
    <row r="38" spans="1:18" ht="63.95">
      <c r="A38" s="11" t="s">
        <v>168</v>
      </c>
      <c r="C38" s="9">
        <v>185</v>
      </c>
      <c r="D38" s="7" t="s">
        <v>169</v>
      </c>
      <c r="G38" s="31" t="s">
        <v>148</v>
      </c>
      <c r="H38" s="31"/>
      <c r="I38" s="31"/>
      <c r="J38" s="32"/>
      <c r="K38" s="32"/>
      <c r="L38" s="15" t="s">
        <v>34</v>
      </c>
      <c r="M38" s="15">
        <v>4</v>
      </c>
      <c r="N38" s="15">
        <v>3.1970000000000001</v>
      </c>
      <c r="O38" s="15">
        <v>93.97</v>
      </c>
      <c r="P38" s="15">
        <v>41.23</v>
      </c>
      <c r="Q38" s="15"/>
    </row>
    <row r="39" spans="1:18" ht="48">
      <c r="A39" s="11" t="s">
        <v>170</v>
      </c>
      <c r="C39" s="9">
        <v>185</v>
      </c>
      <c r="D39" s="7" t="s">
        <v>171</v>
      </c>
      <c r="G39" s="31" t="s">
        <v>148</v>
      </c>
      <c r="H39" s="31"/>
      <c r="I39" s="31"/>
      <c r="J39" s="32"/>
      <c r="K39" s="32"/>
      <c r="L39" s="15" t="s">
        <v>25</v>
      </c>
      <c r="M39" s="15">
        <v>24</v>
      </c>
      <c r="N39" s="15">
        <v>4.7460000000000004</v>
      </c>
      <c r="O39" s="15">
        <v>99.65</v>
      </c>
      <c r="P39" s="15">
        <v>225.04</v>
      </c>
      <c r="Q39" s="15"/>
      <c r="R39" s="27" t="s">
        <v>172</v>
      </c>
    </row>
    <row r="40" spans="1:18" ht="63.95">
      <c r="A40" s="11" t="s">
        <v>173</v>
      </c>
      <c r="C40" s="9">
        <v>185</v>
      </c>
      <c r="D40" s="7" t="s">
        <v>174</v>
      </c>
      <c r="G40" s="31" t="s">
        <v>148</v>
      </c>
      <c r="H40" s="31"/>
      <c r="I40" s="31"/>
      <c r="J40" s="32"/>
      <c r="K40" s="32"/>
      <c r="L40" s="15" t="s">
        <v>44</v>
      </c>
      <c r="M40" s="15">
        <v>31</v>
      </c>
      <c r="N40" s="15">
        <v>2.323</v>
      </c>
      <c r="O40" s="15">
        <v>95.57</v>
      </c>
      <c r="P40" s="15">
        <v>317.06</v>
      </c>
      <c r="Q40" s="15"/>
    </row>
    <row r="41" spans="1:18" ht="63.95">
      <c r="A41" s="11" t="s">
        <v>175</v>
      </c>
      <c r="C41" s="9">
        <v>185</v>
      </c>
      <c r="D41" s="7" t="s">
        <v>176</v>
      </c>
      <c r="G41" s="31" t="s">
        <v>148</v>
      </c>
      <c r="H41" s="31"/>
      <c r="I41" s="31"/>
      <c r="J41" s="32"/>
      <c r="K41" s="32"/>
      <c r="L41" s="15" t="s">
        <v>44</v>
      </c>
      <c r="M41" s="15">
        <v>27</v>
      </c>
      <c r="N41" s="15">
        <v>4.2069999999999999</v>
      </c>
      <c r="O41" s="15">
        <v>98.32</v>
      </c>
      <c r="P41" s="15">
        <v>170.52</v>
      </c>
      <c r="Q41" s="15"/>
    </row>
    <row r="42" spans="1:18" ht="48">
      <c r="A42" s="11" t="s">
        <v>177</v>
      </c>
      <c r="C42" s="9">
        <v>185</v>
      </c>
      <c r="D42" s="7" t="s">
        <v>178</v>
      </c>
      <c r="G42" s="31" t="s">
        <v>148</v>
      </c>
      <c r="H42" s="31"/>
      <c r="I42" s="31"/>
      <c r="J42" s="32"/>
      <c r="K42" s="32"/>
      <c r="L42" s="15" t="s">
        <v>34</v>
      </c>
      <c r="M42" s="15">
        <v>2</v>
      </c>
      <c r="N42" s="15">
        <v>3.1040000000000001</v>
      </c>
      <c r="O42" s="15">
        <v>96.53</v>
      </c>
      <c r="P42" s="15">
        <v>20.11</v>
      </c>
      <c r="Q42" s="15"/>
    </row>
    <row r="43" spans="1:18" ht="15.75" customHeight="1">
      <c r="G43" s="17"/>
      <c r="H43" s="17"/>
      <c r="I43" s="17"/>
      <c r="J43" s="28"/>
      <c r="K43" s="28"/>
      <c r="L43" s="15"/>
      <c r="M43" s="15"/>
      <c r="N43" s="15"/>
      <c r="O43" s="15"/>
      <c r="P43" s="15"/>
      <c r="Q43" s="15"/>
    </row>
    <row r="44" spans="1:18" ht="63.95">
      <c r="A44" s="8" t="s">
        <v>84</v>
      </c>
      <c r="C44" s="9">
        <v>185</v>
      </c>
      <c r="D44" s="7" t="s">
        <v>179</v>
      </c>
      <c r="E44" s="9" t="s">
        <v>85</v>
      </c>
      <c r="F44" s="9" t="s">
        <v>24</v>
      </c>
      <c r="G44" s="17" t="s">
        <v>25</v>
      </c>
      <c r="H44" s="17">
        <v>11</v>
      </c>
      <c r="I44" s="17">
        <v>3.3740000000000001</v>
      </c>
      <c r="J44" s="28">
        <v>55.59</v>
      </c>
      <c r="K44" s="28">
        <v>186.54</v>
      </c>
      <c r="L44" s="15" t="s">
        <v>25</v>
      </c>
      <c r="M44" s="15">
        <v>150</v>
      </c>
      <c r="N44" s="15">
        <v>4.9550000000000001</v>
      </c>
      <c r="O44" s="15">
        <v>91.15</v>
      </c>
      <c r="P44" s="15">
        <v>1463.69</v>
      </c>
      <c r="Q44" s="15"/>
      <c r="R44" s="27" t="s">
        <v>180</v>
      </c>
    </row>
    <row r="45" spans="1:18" ht="63.95">
      <c r="A45" s="8" t="s">
        <v>86</v>
      </c>
      <c r="C45" s="9">
        <v>185</v>
      </c>
      <c r="D45" s="7" t="s">
        <v>181</v>
      </c>
      <c r="E45" s="9" t="s">
        <v>85</v>
      </c>
      <c r="F45" s="9" t="s">
        <v>24</v>
      </c>
      <c r="G45" s="17" t="s">
        <v>25</v>
      </c>
      <c r="H45" s="17">
        <v>21</v>
      </c>
      <c r="I45" s="17">
        <v>0.876</v>
      </c>
      <c r="J45" s="28">
        <v>16.22</v>
      </c>
      <c r="K45" s="28">
        <v>1081.28</v>
      </c>
      <c r="L45" s="15" t="s">
        <v>25</v>
      </c>
      <c r="M45" s="15">
        <v>816</v>
      </c>
      <c r="N45" s="15">
        <v>4.6619999999999999</v>
      </c>
      <c r="O45" s="15">
        <v>98.94</v>
      </c>
      <c r="P45" s="15">
        <v>7352.74</v>
      </c>
      <c r="Q45" s="15"/>
    </row>
    <row r="46" spans="1:18" ht="63.95">
      <c r="A46" s="8" t="s">
        <v>182</v>
      </c>
      <c r="C46" s="9">
        <v>185</v>
      </c>
      <c r="D46" s="7" t="s">
        <v>183</v>
      </c>
      <c r="E46" s="9" t="s">
        <v>85</v>
      </c>
      <c r="F46" s="9" t="s">
        <v>24</v>
      </c>
      <c r="G46" s="17" t="s">
        <v>25</v>
      </c>
      <c r="H46" s="17">
        <v>16</v>
      </c>
      <c r="I46" s="17">
        <v>1.8320000000000001</v>
      </c>
      <c r="J46" s="28">
        <v>71.36</v>
      </c>
      <c r="K46" s="28">
        <v>201.6</v>
      </c>
      <c r="L46" s="15" t="s">
        <v>25</v>
      </c>
      <c r="M46" s="15">
        <v>280</v>
      </c>
      <c r="N46" s="15">
        <v>3.9860000000000002</v>
      </c>
      <c r="O46" s="15">
        <v>99.8</v>
      </c>
      <c r="P46" s="15">
        <v>2409.3000000000002</v>
      </c>
      <c r="Q46" s="15"/>
    </row>
    <row r="47" spans="1:18" ht="63.95">
      <c r="A47" s="12" t="s">
        <v>184</v>
      </c>
      <c r="C47" s="9">
        <v>185</v>
      </c>
      <c r="D47" s="7" t="s">
        <v>185</v>
      </c>
      <c r="E47" s="9" t="s">
        <v>85</v>
      </c>
      <c r="F47" s="9" t="s">
        <v>24</v>
      </c>
      <c r="G47" s="121" t="s">
        <v>128</v>
      </c>
      <c r="H47" s="121">
        <v>1</v>
      </c>
      <c r="I47" s="121">
        <v>4.7729999999999997</v>
      </c>
      <c r="J47" s="122">
        <v>351.26</v>
      </c>
      <c r="K47" s="122">
        <v>5.64</v>
      </c>
      <c r="L47" s="23" t="s">
        <v>44</v>
      </c>
      <c r="M47" s="23">
        <v>1</v>
      </c>
      <c r="N47" s="23">
        <v>1.4850000000000001</v>
      </c>
      <c r="O47" s="23">
        <v>117.76</v>
      </c>
      <c r="P47" s="39">
        <v>8.4</v>
      </c>
      <c r="Q47" s="15"/>
      <c r="R47" s="27" t="s">
        <v>186</v>
      </c>
    </row>
    <row r="48" spans="1:18" ht="63.95">
      <c r="A48" s="12" t="s">
        <v>187</v>
      </c>
      <c r="C48" s="9">
        <v>185</v>
      </c>
      <c r="D48" s="7" t="s">
        <v>188</v>
      </c>
      <c r="E48" s="9" t="s">
        <v>85</v>
      </c>
      <c r="F48" s="9" t="s">
        <v>24</v>
      </c>
      <c r="G48" s="31" t="s">
        <v>148</v>
      </c>
      <c r="H48" s="31"/>
      <c r="I48" s="31"/>
      <c r="J48" s="32"/>
      <c r="K48" s="32"/>
      <c r="L48" s="15" t="s">
        <v>34</v>
      </c>
      <c r="M48" s="15">
        <v>2</v>
      </c>
      <c r="N48" s="15">
        <v>1.75</v>
      </c>
      <c r="O48" s="15">
        <v>85.35</v>
      </c>
      <c r="P48" s="15">
        <v>22.99</v>
      </c>
      <c r="Q48" s="15"/>
    </row>
    <row r="49" spans="1:17" ht="63.95">
      <c r="A49" s="12" t="s">
        <v>189</v>
      </c>
      <c r="C49" s="9">
        <v>185</v>
      </c>
      <c r="D49" s="7" t="s">
        <v>190</v>
      </c>
      <c r="E49" s="9" t="s">
        <v>85</v>
      </c>
      <c r="F49" s="9" t="s">
        <v>24</v>
      </c>
      <c r="G49" s="31" t="s">
        <v>148</v>
      </c>
      <c r="H49" s="31"/>
      <c r="I49" s="31"/>
      <c r="J49" s="32"/>
      <c r="K49" s="32"/>
      <c r="L49" s="15" t="s">
        <v>34</v>
      </c>
      <c r="M49" s="15">
        <v>2</v>
      </c>
      <c r="N49" s="15">
        <v>1.772</v>
      </c>
      <c r="O49" s="15">
        <v>84.69</v>
      </c>
      <c r="P49" s="15">
        <v>23.16</v>
      </c>
      <c r="Q49" s="15"/>
    </row>
    <row r="50" spans="1:17" ht="32.1">
      <c r="A50" s="12" t="s">
        <v>191</v>
      </c>
      <c r="B50" s="9">
        <v>1</v>
      </c>
      <c r="C50" s="9">
        <v>185</v>
      </c>
      <c r="D50" s="7" t="s">
        <v>192</v>
      </c>
      <c r="E50" s="9" t="s">
        <v>85</v>
      </c>
      <c r="F50" s="9" t="s">
        <v>24</v>
      </c>
      <c r="G50" s="31" t="s">
        <v>148</v>
      </c>
      <c r="H50" s="31"/>
      <c r="I50" s="31"/>
      <c r="J50" s="32"/>
      <c r="K50" s="32"/>
      <c r="L50" s="15" t="s">
        <v>34</v>
      </c>
      <c r="M50" s="15">
        <v>4</v>
      </c>
      <c r="N50" s="15">
        <v>39.19</v>
      </c>
      <c r="O50" s="15">
        <v>2.1819999999999999</v>
      </c>
      <c r="P50" s="15">
        <v>100.02</v>
      </c>
      <c r="Q50" s="15"/>
    </row>
    <row r="51" spans="1:17" ht="32.1">
      <c r="A51" s="12" t="s">
        <v>193</v>
      </c>
      <c r="B51" s="9">
        <v>1</v>
      </c>
      <c r="C51" s="9">
        <v>185</v>
      </c>
      <c r="D51" s="7" t="s">
        <v>194</v>
      </c>
      <c r="E51" s="9" t="s">
        <v>85</v>
      </c>
      <c r="F51" s="9" t="s">
        <v>24</v>
      </c>
      <c r="G51" s="31" t="s">
        <v>148</v>
      </c>
      <c r="H51" s="31"/>
      <c r="I51" s="31"/>
      <c r="J51" s="32"/>
      <c r="K51" s="32"/>
      <c r="L51" s="15" t="s">
        <v>34</v>
      </c>
      <c r="M51" s="15">
        <v>13</v>
      </c>
      <c r="N51" s="15">
        <v>3.97</v>
      </c>
      <c r="O51" s="15">
        <v>94.92</v>
      </c>
      <c r="P51" s="15">
        <v>131.69</v>
      </c>
      <c r="Q51" s="15"/>
    </row>
    <row r="52" spans="1:17" ht="48">
      <c r="A52" s="12" t="s">
        <v>195</v>
      </c>
      <c r="C52" s="9">
        <v>185</v>
      </c>
      <c r="D52" s="7" t="s">
        <v>196</v>
      </c>
      <c r="E52" s="9" t="s">
        <v>85</v>
      </c>
      <c r="F52" s="9" t="s">
        <v>24</v>
      </c>
      <c r="G52" s="24" t="s">
        <v>128</v>
      </c>
      <c r="H52" s="24">
        <v>1</v>
      </c>
      <c r="I52" s="24">
        <v>2.4990000000000001</v>
      </c>
      <c r="J52" s="25">
        <v>182451.31</v>
      </c>
      <c r="K52" s="25">
        <v>5.55</v>
      </c>
      <c r="L52" s="15" t="s">
        <v>44</v>
      </c>
      <c r="M52" s="15">
        <v>13</v>
      </c>
      <c r="N52" s="15">
        <v>4.8600000000000003</v>
      </c>
      <c r="O52" s="15">
        <v>82.32</v>
      </c>
      <c r="P52" s="15">
        <v>149.44</v>
      </c>
      <c r="Q52" s="15"/>
    </row>
    <row r="53" spans="1:17" ht="48">
      <c r="A53" s="12" t="s">
        <v>197</v>
      </c>
      <c r="C53" s="9">
        <v>185</v>
      </c>
      <c r="D53" s="7" t="s">
        <v>198</v>
      </c>
      <c r="E53" s="9" t="s">
        <v>85</v>
      </c>
      <c r="F53" s="9" t="s">
        <v>24</v>
      </c>
      <c r="G53" s="31" t="s">
        <v>148</v>
      </c>
      <c r="H53" s="31"/>
      <c r="I53" s="31"/>
      <c r="J53" s="32"/>
      <c r="K53" s="32"/>
      <c r="L53" s="15" t="s">
        <v>34</v>
      </c>
      <c r="M53" s="15">
        <v>7</v>
      </c>
      <c r="N53" s="15">
        <v>3.2170000000000001</v>
      </c>
      <c r="O53" s="15">
        <v>98.01</v>
      </c>
      <c r="P53" s="15">
        <v>69.260000000000005</v>
      </c>
      <c r="Q53" s="15"/>
    </row>
    <row r="54" spans="1:17" ht="15.75" customHeight="1">
      <c r="G54" s="17"/>
      <c r="H54" s="34"/>
      <c r="I54" s="34"/>
      <c r="J54" s="35"/>
      <c r="K54" s="28"/>
      <c r="L54" s="15"/>
      <c r="M54" s="15"/>
      <c r="N54" s="15"/>
      <c r="O54" s="15"/>
      <c r="P54" s="15"/>
      <c r="Q54" s="15"/>
    </row>
    <row r="55" spans="1:17" ht="63.95">
      <c r="A55" s="11" t="s">
        <v>91</v>
      </c>
      <c r="C55" s="9">
        <v>185</v>
      </c>
      <c r="D55" s="7" t="s">
        <v>199</v>
      </c>
      <c r="E55" s="9" t="s">
        <v>92</v>
      </c>
      <c r="F55" s="9" t="s">
        <v>24</v>
      </c>
      <c r="G55" s="28" t="s">
        <v>25</v>
      </c>
      <c r="H55" s="18">
        <v>6</v>
      </c>
      <c r="I55" s="18">
        <v>3.1</v>
      </c>
      <c r="J55" s="19">
        <v>87.26</v>
      </c>
      <c r="K55" s="19">
        <v>66.44</v>
      </c>
      <c r="L55" s="15" t="s">
        <v>25</v>
      </c>
      <c r="M55" s="15">
        <v>68</v>
      </c>
      <c r="N55" s="15">
        <v>4.9989999999999997</v>
      </c>
      <c r="O55" s="15">
        <v>62.52</v>
      </c>
      <c r="P55" s="15">
        <v>932.95</v>
      </c>
      <c r="Q55" s="15" t="s">
        <v>140</v>
      </c>
    </row>
    <row r="56" spans="1:17" ht="63.95">
      <c r="A56" s="11" t="s">
        <v>93</v>
      </c>
      <c r="C56" s="9">
        <v>185</v>
      </c>
      <c r="D56" s="7" t="s">
        <v>200</v>
      </c>
      <c r="E56" s="9" t="s">
        <v>92</v>
      </c>
      <c r="F56" s="9" t="s">
        <v>24</v>
      </c>
      <c r="G56" s="28" t="s">
        <v>25</v>
      </c>
      <c r="H56" s="18">
        <v>76</v>
      </c>
      <c r="I56" s="18">
        <v>1.331</v>
      </c>
      <c r="J56" s="19">
        <v>26.36</v>
      </c>
      <c r="K56" s="19">
        <v>2698.42</v>
      </c>
      <c r="L56" s="15" t="s">
        <v>25</v>
      </c>
      <c r="M56" s="15">
        <v>546</v>
      </c>
      <c r="N56" s="15">
        <v>4.9379999999999997</v>
      </c>
      <c r="O56" s="15">
        <v>72.599999999999994</v>
      </c>
      <c r="P56" s="15">
        <v>6233.22</v>
      </c>
      <c r="Q56" s="15" t="s">
        <v>140</v>
      </c>
    </row>
    <row r="57" spans="1:17" ht="63.95">
      <c r="A57" s="11" t="s">
        <v>94</v>
      </c>
      <c r="C57" s="9">
        <v>185</v>
      </c>
      <c r="D57" s="7" t="s">
        <v>201</v>
      </c>
      <c r="E57" s="9" t="s">
        <v>92</v>
      </c>
      <c r="F57" s="9" t="s">
        <v>24</v>
      </c>
      <c r="G57" s="25" t="s">
        <v>25</v>
      </c>
      <c r="H57" s="24">
        <v>1</v>
      </c>
      <c r="I57" s="24">
        <v>0.373</v>
      </c>
      <c r="J57" s="25">
        <v>121.37</v>
      </c>
      <c r="K57" s="25">
        <v>34.14</v>
      </c>
      <c r="L57" s="15" t="s">
        <v>25</v>
      </c>
      <c r="M57" s="15">
        <v>186</v>
      </c>
      <c r="N57" s="15">
        <v>4.93</v>
      </c>
      <c r="O57" s="15">
        <v>77.48</v>
      </c>
      <c r="P57" s="15">
        <v>2074.77</v>
      </c>
      <c r="Q57" s="15" t="s">
        <v>140</v>
      </c>
    </row>
    <row r="58" spans="1:17" ht="48">
      <c r="A58" s="13" t="s">
        <v>95</v>
      </c>
      <c r="C58" s="9">
        <v>185</v>
      </c>
      <c r="D58" s="7" t="s">
        <v>202</v>
      </c>
      <c r="E58" s="9" t="s">
        <v>92</v>
      </c>
      <c r="F58" s="9" t="s">
        <v>24</v>
      </c>
      <c r="G58" s="25" t="s">
        <v>128</v>
      </c>
      <c r="H58" s="24"/>
      <c r="I58" s="24" t="s">
        <v>203</v>
      </c>
      <c r="J58" s="25"/>
      <c r="K58" s="25"/>
      <c r="L58" s="15" t="s">
        <v>44</v>
      </c>
      <c r="M58" s="15">
        <v>6</v>
      </c>
      <c r="N58" s="15">
        <v>4.8559999999999999</v>
      </c>
      <c r="O58" s="15">
        <v>66.569999999999993</v>
      </c>
      <c r="P58" s="15">
        <v>84.2</v>
      </c>
      <c r="Q58" s="15" t="s">
        <v>140</v>
      </c>
    </row>
    <row r="59" spans="1:17" ht="48">
      <c r="A59" s="11" t="s">
        <v>96</v>
      </c>
      <c r="C59" s="9">
        <v>185</v>
      </c>
      <c r="D59" s="7" t="s">
        <v>204</v>
      </c>
      <c r="E59" s="9" t="s">
        <v>92</v>
      </c>
      <c r="F59" s="9" t="s">
        <v>24</v>
      </c>
      <c r="G59" s="25" t="s">
        <v>25</v>
      </c>
      <c r="H59" s="24">
        <v>1</v>
      </c>
      <c r="I59" s="24">
        <v>1.5269999999999999</v>
      </c>
      <c r="J59" s="25">
        <v>130.69</v>
      </c>
      <c r="K59" s="25">
        <v>15.15</v>
      </c>
      <c r="L59" s="15" t="s">
        <v>25</v>
      </c>
      <c r="M59" s="15">
        <v>32</v>
      </c>
      <c r="N59" s="15">
        <v>4.915</v>
      </c>
      <c r="O59" s="15">
        <v>77.760000000000005</v>
      </c>
      <c r="P59" s="15">
        <v>371.6</v>
      </c>
      <c r="Q59" s="15" t="s">
        <v>140</v>
      </c>
    </row>
    <row r="60" spans="1:17" ht="15.95">
      <c r="A60" s="11" t="s">
        <v>205</v>
      </c>
      <c r="C60" s="9">
        <v>185</v>
      </c>
      <c r="D60" s="6" t="s">
        <v>206</v>
      </c>
      <c r="E60" s="9" t="s">
        <v>92</v>
      </c>
      <c r="F60" s="9" t="s">
        <v>24</v>
      </c>
      <c r="G60" s="32" t="s">
        <v>148</v>
      </c>
      <c r="H60" s="31"/>
      <c r="I60" s="31"/>
      <c r="J60" s="32"/>
      <c r="K60" s="32"/>
      <c r="L60" s="15" t="s">
        <v>44</v>
      </c>
      <c r="M60" s="15">
        <v>35</v>
      </c>
      <c r="N60" s="15">
        <v>4.9989999999999997</v>
      </c>
      <c r="O60" s="15">
        <v>69.37</v>
      </c>
      <c r="P60" s="15">
        <v>471.72</v>
      </c>
      <c r="Q60" s="15"/>
    </row>
    <row r="61" spans="1:17" ht="15.95">
      <c r="A61" s="11" t="s">
        <v>207</v>
      </c>
      <c r="C61" s="9">
        <v>185</v>
      </c>
      <c r="D61" s="6" t="s">
        <v>208</v>
      </c>
      <c r="E61" s="9" t="s">
        <v>92</v>
      </c>
      <c r="F61" s="9" t="s">
        <v>24</v>
      </c>
      <c r="G61" s="32" t="s">
        <v>148</v>
      </c>
      <c r="H61" s="31"/>
      <c r="I61" s="31"/>
      <c r="J61" s="32"/>
      <c r="K61" s="32"/>
      <c r="L61" s="15" t="s">
        <v>44</v>
      </c>
      <c r="M61" s="15">
        <v>20</v>
      </c>
      <c r="N61" s="15">
        <v>4.8860000000000001</v>
      </c>
      <c r="O61" s="15">
        <v>93.44</v>
      </c>
      <c r="P61" s="15">
        <v>203.81</v>
      </c>
      <c r="Q61" s="15"/>
    </row>
    <row r="62" spans="1:17" ht="63.95">
      <c r="A62" s="11" t="s">
        <v>97</v>
      </c>
      <c r="C62" s="9">
        <v>185</v>
      </c>
      <c r="D62" s="7" t="s">
        <v>209</v>
      </c>
      <c r="E62" s="9" t="s">
        <v>92</v>
      </c>
      <c r="F62" s="9" t="s">
        <v>24</v>
      </c>
      <c r="G62" s="28" t="s">
        <v>25</v>
      </c>
      <c r="H62" s="18">
        <v>11</v>
      </c>
      <c r="I62" s="18">
        <v>3.972</v>
      </c>
      <c r="J62" s="19">
        <v>91.27</v>
      </c>
      <c r="K62" s="19">
        <v>112.27</v>
      </c>
      <c r="L62" s="15" t="s">
        <v>25</v>
      </c>
      <c r="M62" s="15">
        <v>66</v>
      </c>
      <c r="N62" s="15">
        <v>4.9400000000000004</v>
      </c>
      <c r="O62" s="15">
        <v>58.03</v>
      </c>
      <c r="P62" s="15">
        <v>977.72</v>
      </c>
      <c r="Q62" s="15" t="s">
        <v>140</v>
      </c>
    </row>
    <row r="67" spans="1:1" ht="15.75" customHeight="1">
      <c r="A67" s="7" t="s">
        <v>210</v>
      </c>
    </row>
  </sheetData>
  <autoFilter ref="C4:L4" xr:uid="{14C8E652-0646-B046-B441-BC05036B1B5D}"/>
  <mergeCells count="4">
    <mergeCell ref="A3:A4"/>
    <mergeCell ref="L3:O3"/>
    <mergeCell ref="L1:Q2"/>
    <mergeCell ref="H1:K2"/>
  </mergeCells>
  <hyperlinks>
    <hyperlink ref="R12" r:id="rId1" xr:uid="{099DB788-F62F-486C-A13A-543815226FA8}"/>
    <hyperlink ref="R13" r:id="rId2" xr:uid="{34DA00D3-9B06-417B-AEE5-2239B667F9A4}"/>
    <hyperlink ref="R17" r:id="rId3" xr:uid="{FDDB332D-E2D4-470E-B467-893409B2431F}"/>
    <hyperlink ref="R23" r:id="rId4" xr:uid="{7D76AA3A-90AE-43FD-9049-0DFDAF8B003E}"/>
    <hyperlink ref="R21" r:id="rId5" display="https://inteltf-jenk.sh.intel.com/job/ipex_pytorch_cpu_sglang_benchmark_regular-serving-GNR-weekly/2599" xr:uid="{1FCBE389-156A-4829-8BFF-2D50ABB4E201}"/>
    <hyperlink ref="R44" r:id="rId6" xr:uid="{A34557B8-A3F8-4183-A041-1907FBF20B7E}"/>
    <hyperlink ref="R47" r:id="rId7" xr:uid="{75B1D7EB-08D4-4C2D-A7A4-118515C4DD17}"/>
    <hyperlink ref="R39" r:id="rId8" xr:uid="{3E86629D-EC55-4B2A-958B-68F0357BAC07}"/>
    <hyperlink ref="Q4" r:id="rId9" xr:uid="{733BCFB1-59DA-4CB0-AA20-ACC7A698BD4D}"/>
  </hyperlinks>
  <pageMargins left="0.7" right="0.7" top="0.75" bottom="0.75" header="0.3" footer="0.3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3C0F-CDE8-4774-8541-8D2D46B82D0B}">
  <dimension ref="A1:AB67"/>
  <sheetViews>
    <sheetView topLeftCell="I3" zoomScale="71" zoomScaleNormal="71" workbookViewId="0">
      <selection activeCell="R1" sqref="K1:R1048576"/>
    </sheetView>
  </sheetViews>
  <sheetFormatPr defaultColWidth="11" defaultRowHeight="15.75" customHeight="1"/>
  <cols>
    <col min="1" max="1" width="37" style="7" customWidth="1"/>
    <col min="2" max="2" width="4.5" style="9" customWidth="1"/>
    <col min="3" max="3" width="9.875" style="9" customWidth="1"/>
    <col min="4" max="4" width="57.25" style="7" customWidth="1"/>
    <col min="5" max="5" width="13.75" style="9" customWidth="1"/>
    <col min="6" max="6" width="15.375" style="9" customWidth="1"/>
    <col min="7" max="7" width="13" style="9" customWidth="1"/>
    <col min="8" max="8" width="11.125" style="9" customWidth="1"/>
    <col min="9" max="9" width="23.375" style="9" customWidth="1"/>
    <col min="10" max="11" width="14.625" style="9" customWidth="1"/>
    <col min="12" max="12" width="11" style="9" customWidth="1"/>
    <col min="13" max="13" width="11.625" style="9" customWidth="1"/>
    <col min="14" max="15" width="11" style="9" customWidth="1"/>
    <col min="16" max="16" width="16.875" style="9" customWidth="1"/>
    <col min="17" max="17" width="38.125" style="9" customWidth="1"/>
    <col min="18" max="20" width="11" style="9"/>
    <col min="21" max="21" width="16.25" style="9" bestFit="1" customWidth="1"/>
    <col min="22" max="22" width="28.25" style="9" bestFit="1" customWidth="1"/>
    <col min="23" max="27" width="11" style="9"/>
    <col min="28" max="28" width="23.625" style="9" bestFit="1" customWidth="1"/>
    <col min="29" max="16384" width="11" style="9"/>
  </cols>
  <sheetData>
    <row r="1" spans="1:28" ht="38.25" customHeight="1">
      <c r="A1" s="6" t="s">
        <v>103</v>
      </c>
      <c r="B1" s="14"/>
      <c r="E1" s="9" t="s">
        <v>104</v>
      </c>
      <c r="F1" s="9" t="s">
        <v>105</v>
      </c>
      <c r="G1" s="9" t="s">
        <v>106</v>
      </c>
      <c r="H1" s="257" t="s">
        <v>107</v>
      </c>
      <c r="I1" s="258"/>
      <c r="J1" s="258"/>
      <c r="K1" s="258"/>
      <c r="L1" s="257" t="s">
        <v>108</v>
      </c>
      <c r="M1" s="258"/>
      <c r="N1" s="258"/>
      <c r="O1" s="258"/>
      <c r="P1" s="258"/>
      <c r="Q1" s="258"/>
    </row>
    <row r="2" spans="1:28" ht="65.25" customHeight="1">
      <c r="H2" s="258"/>
      <c r="I2" s="258"/>
      <c r="J2" s="258"/>
      <c r="K2" s="258"/>
      <c r="L2" s="258"/>
      <c r="M2" s="258"/>
      <c r="N2" s="258"/>
      <c r="O2" s="258"/>
      <c r="P2" s="258"/>
      <c r="Q2" s="258"/>
    </row>
    <row r="3" spans="1:28" ht="15.75" customHeight="1">
      <c r="A3" s="255" t="s">
        <v>6</v>
      </c>
      <c r="B3" s="1"/>
      <c r="C3" s="1"/>
      <c r="D3" s="5"/>
      <c r="G3" s="259" t="s">
        <v>109</v>
      </c>
      <c r="H3" s="260"/>
      <c r="I3" s="260"/>
      <c r="J3" s="260"/>
      <c r="K3" s="261"/>
      <c r="L3" s="256" t="s">
        <v>110</v>
      </c>
      <c r="M3" s="256"/>
      <c r="N3" s="256"/>
      <c r="O3" s="256"/>
      <c r="P3" s="4"/>
      <c r="Q3" s="15"/>
      <c r="R3" s="259" t="s">
        <v>211</v>
      </c>
      <c r="S3" s="260"/>
      <c r="T3" s="260"/>
      <c r="U3" s="260"/>
      <c r="W3" s="256" t="s">
        <v>110</v>
      </c>
      <c r="X3" s="256"/>
      <c r="Y3" s="256"/>
      <c r="Z3" s="256"/>
      <c r="AA3" s="4"/>
    </row>
    <row r="4" spans="1:28" ht="15.75" customHeight="1">
      <c r="A4" s="255"/>
      <c r="B4" s="1"/>
      <c r="C4" s="14" t="s">
        <v>111</v>
      </c>
      <c r="D4" s="6" t="s">
        <v>112</v>
      </c>
      <c r="E4" s="1" t="s">
        <v>113</v>
      </c>
      <c r="F4" s="1" t="s">
        <v>9</v>
      </c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114</v>
      </c>
      <c r="Q4" s="16" t="s">
        <v>115</v>
      </c>
      <c r="R4" s="2" t="s">
        <v>11</v>
      </c>
      <c r="S4" s="2" t="s">
        <v>12</v>
      </c>
      <c r="T4" s="3" t="s">
        <v>13</v>
      </c>
      <c r="U4" s="3" t="s">
        <v>114</v>
      </c>
      <c r="V4" s="3" t="s">
        <v>212</v>
      </c>
      <c r="W4" s="4" t="s">
        <v>10</v>
      </c>
      <c r="X4" s="4" t="s">
        <v>11</v>
      </c>
      <c r="Y4" s="4" t="s">
        <v>12</v>
      </c>
      <c r="Z4" s="4" t="s">
        <v>13</v>
      </c>
      <c r="AA4" s="4" t="s">
        <v>114</v>
      </c>
      <c r="AB4" s="9" t="s">
        <v>213</v>
      </c>
    </row>
    <row r="5" spans="1:28" ht="15.75" customHeight="1">
      <c r="A5" s="5"/>
      <c r="B5" s="1"/>
      <c r="E5" s="1" t="s">
        <v>116</v>
      </c>
      <c r="F5" s="1" t="s">
        <v>117</v>
      </c>
      <c r="G5" s="2"/>
      <c r="H5" s="2"/>
      <c r="I5" s="2"/>
      <c r="J5" s="3"/>
      <c r="K5" s="3"/>
      <c r="L5" s="15"/>
      <c r="M5" s="4"/>
      <c r="N5" s="4"/>
      <c r="O5" s="4"/>
      <c r="P5" s="4"/>
      <c r="Q5" s="15"/>
      <c r="R5" s="2"/>
      <c r="S5" s="2"/>
      <c r="T5" s="3"/>
      <c r="U5" s="3"/>
      <c r="W5" s="15"/>
      <c r="X5" s="4"/>
      <c r="Y5" s="4"/>
      <c r="Z5" s="4"/>
      <c r="AA5" s="4"/>
    </row>
    <row r="6" spans="1:28" ht="15.75" customHeight="1">
      <c r="A6" s="8" t="s">
        <v>22</v>
      </c>
      <c r="C6" s="9">
        <v>185</v>
      </c>
      <c r="D6" s="7" t="s">
        <v>118</v>
      </c>
      <c r="E6" s="9" t="s">
        <v>24</v>
      </c>
      <c r="F6" s="9" t="s">
        <v>24</v>
      </c>
      <c r="G6" s="17" t="s">
        <v>25</v>
      </c>
      <c r="H6" s="18">
        <v>47</v>
      </c>
      <c r="I6" s="18">
        <v>4.91</v>
      </c>
      <c r="J6" s="19">
        <v>87.28</v>
      </c>
      <c r="K6" s="19">
        <v>478.46</v>
      </c>
      <c r="L6" s="15" t="s">
        <v>25</v>
      </c>
      <c r="M6" s="15">
        <v>63</v>
      </c>
      <c r="N6" s="15">
        <v>4.9889999999999999</v>
      </c>
      <c r="O6" s="15">
        <v>95.25</v>
      </c>
      <c r="P6" s="15">
        <v>611.57000000000005</v>
      </c>
      <c r="Q6" s="15"/>
      <c r="R6" s="18">
        <v>11</v>
      </c>
      <c r="S6" s="18">
        <v>4.7469999999999999</v>
      </c>
      <c r="T6" s="19">
        <v>85.42</v>
      </c>
      <c r="U6" s="19">
        <v>119.54</v>
      </c>
      <c r="V6" s="42">
        <f>K6/U6</f>
        <v>4.0025096202108079</v>
      </c>
      <c r="W6" s="15" t="s">
        <v>25</v>
      </c>
      <c r="X6" s="15">
        <v>63</v>
      </c>
      <c r="Y6" s="15">
        <v>4.9889999999999999</v>
      </c>
      <c r="Z6" s="15">
        <v>95.25</v>
      </c>
      <c r="AA6" s="15">
        <v>611.57000000000005</v>
      </c>
      <c r="AB6" s="42">
        <f>K6/AA6</f>
        <v>0.78234707392448932</v>
      </c>
    </row>
    <row r="7" spans="1:28" ht="15.75" customHeight="1">
      <c r="A7" s="8" t="s">
        <v>29</v>
      </c>
      <c r="C7" s="9">
        <v>185</v>
      </c>
      <c r="D7" s="7" t="s">
        <v>119</v>
      </c>
      <c r="E7" s="9" t="s">
        <v>24</v>
      </c>
      <c r="F7" s="9" t="s">
        <v>24</v>
      </c>
      <c r="G7" s="17" t="s">
        <v>25</v>
      </c>
      <c r="H7" s="18">
        <v>387</v>
      </c>
      <c r="I7" s="18">
        <v>3.8239999999999998</v>
      </c>
      <c r="J7" s="19">
        <v>45.47</v>
      </c>
      <c r="K7" s="19">
        <v>7571.24</v>
      </c>
      <c r="L7" s="15" t="s">
        <v>25</v>
      </c>
      <c r="M7" s="15">
        <v>546</v>
      </c>
      <c r="N7" s="15">
        <v>4.9109999999999996</v>
      </c>
      <c r="O7" s="15">
        <v>80.2</v>
      </c>
      <c r="P7" s="15">
        <v>5932.79</v>
      </c>
      <c r="Q7" s="15"/>
      <c r="R7" s="18">
        <v>31</v>
      </c>
      <c r="S7" s="18">
        <v>1.8080000000000001</v>
      </c>
      <c r="T7" s="19">
        <v>27.97</v>
      </c>
      <c r="U7" s="19">
        <v>973.71</v>
      </c>
      <c r="V7" s="42">
        <f t="shared" ref="V7:V62" si="0">K7/U7</f>
        <v>7.7756621581374326</v>
      </c>
      <c r="W7" s="15" t="s">
        <v>25</v>
      </c>
      <c r="X7" s="15">
        <v>546</v>
      </c>
      <c r="Y7" s="15">
        <v>4.9109999999999996</v>
      </c>
      <c r="Z7" s="15">
        <v>80.2</v>
      </c>
      <c r="AA7" s="15">
        <v>5932.79</v>
      </c>
      <c r="AB7" s="42">
        <f t="shared" ref="AB7:AB62" si="1">K7/AA7</f>
        <v>1.276168548018723</v>
      </c>
    </row>
    <row r="8" spans="1:28" ht="15.75" customHeight="1">
      <c r="A8" s="8" t="s">
        <v>30</v>
      </c>
      <c r="C8" s="9">
        <v>185</v>
      </c>
      <c r="D8" s="7" t="s">
        <v>120</v>
      </c>
      <c r="E8" s="9" t="s">
        <v>24</v>
      </c>
      <c r="F8" s="9" t="s">
        <v>24</v>
      </c>
      <c r="G8" s="17" t="s">
        <v>25</v>
      </c>
      <c r="H8" s="18">
        <v>95</v>
      </c>
      <c r="I8" s="18">
        <v>3.9860000000000002</v>
      </c>
      <c r="J8" s="19">
        <v>97.46</v>
      </c>
      <c r="K8" s="19">
        <v>917.55</v>
      </c>
      <c r="L8" s="15" t="s">
        <v>25</v>
      </c>
      <c r="M8" s="15">
        <v>194</v>
      </c>
      <c r="N8" s="15">
        <v>4.9800000000000004</v>
      </c>
      <c r="O8" s="15">
        <v>90.76</v>
      </c>
      <c r="P8" s="15">
        <v>1897</v>
      </c>
      <c r="Q8" s="15"/>
      <c r="R8" s="18">
        <v>1</v>
      </c>
      <c r="S8" s="18">
        <v>0.38400000000000001</v>
      </c>
      <c r="T8" s="19">
        <v>73.42</v>
      </c>
      <c r="U8" s="19">
        <v>13.52</v>
      </c>
      <c r="V8" s="42">
        <f t="shared" si="0"/>
        <v>67.866124260355022</v>
      </c>
      <c r="W8" s="15" t="s">
        <v>25</v>
      </c>
      <c r="X8" s="15">
        <v>194</v>
      </c>
      <c r="Y8" s="15">
        <v>4.9800000000000004</v>
      </c>
      <c r="Z8" s="15">
        <v>90.76</v>
      </c>
      <c r="AA8" s="15">
        <v>1897</v>
      </c>
      <c r="AB8" s="42">
        <f t="shared" si="1"/>
        <v>0.48368476541908273</v>
      </c>
    </row>
    <row r="9" spans="1:28" ht="15.75" customHeight="1">
      <c r="A9" s="8" t="s">
        <v>31</v>
      </c>
      <c r="C9" s="9">
        <v>185</v>
      </c>
      <c r="D9" s="7" t="s">
        <v>121</v>
      </c>
      <c r="E9" s="9" t="s">
        <v>24</v>
      </c>
      <c r="F9" s="9" t="s">
        <v>24</v>
      </c>
      <c r="G9" s="20" t="s">
        <v>122</v>
      </c>
      <c r="H9" s="20">
        <v>1</v>
      </c>
      <c r="I9" s="21">
        <v>6.5839999999999996</v>
      </c>
      <c r="J9" s="21">
        <v>606.02</v>
      </c>
      <c r="K9" s="22">
        <v>1.63</v>
      </c>
      <c r="L9" s="23" t="s">
        <v>34</v>
      </c>
      <c r="M9" s="23">
        <v>1</v>
      </c>
      <c r="N9" s="23">
        <v>1.6579999999999999</v>
      </c>
      <c r="O9" s="23">
        <v>122.72</v>
      </c>
      <c r="P9" s="23">
        <v>8.0500000000000007</v>
      </c>
      <c r="Q9" s="15"/>
      <c r="R9" s="20">
        <v>1</v>
      </c>
      <c r="S9" s="21">
        <v>6.726</v>
      </c>
      <c r="T9" s="21">
        <v>604.42999999999995</v>
      </c>
      <c r="U9" s="22">
        <v>3.27</v>
      </c>
      <c r="V9" s="42">
        <f t="shared" si="0"/>
        <v>0.49847094801223241</v>
      </c>
      <c r="W9" s="23" t="s">
        <v>34</v>
      </c>
      <c r="X9" s="23">
        <v>1</v>
      </c>
      <c r="Y9" s="23">
        <v>1.6579999999999999</v>
      </c>
      <c r="Z9" s="23">
        <v>122.72</v>
      </c>
      <c r="AA9" s="23">
        <v>8.0500000000000007</v>
      </c>
      <c r="AB9" s="42">
        <f t="shared" si="1"/>
        <v>0.20248447204968942</v>
      </c>
    </row>
    <row r="10" spans="1:28" ht="48">
      <c r="A10" s="8" t="s">
        <v>36</v>
      </c>
      <c r="B10" s="9">
        <v>1</v>
      </c>
      <c r="C10" s="9">
        <v>185</v>
      </c>
      <c r="D10" s="7" t="s">
        <v>123</v>
      </c>
      <c r="E10" s="9" t="s">
        <v>24</v>
      </c>
      <c r="F10" s="9" t="s">
        <v>24</v>
      </c>
      <c r="G10" s="24" t="s">
        <v>122</v>
      </c>
      <c r="H10" s="24">
        <v>1</v>
      </c>
      <c r="I10" s="24">
        <v>4.1230000000000002</v>
      </c>
      <c r="J10" s="25">
        <v>537.1</v>
      </c>
      <c r="K10" s="25">
        <v>0.81</v>
      </c>
      <c r="L10" s="24" t="s">
        <v>34</v>
      </c>
      <c r="M10" s="24">
        <v>2</v>
      </c>
      <c r="N10" s="24">
        <v>1.2949999999999999</v>
      </c>
      <c r="O10" s="24">
        <v>97.04</v>
      </c>
      <c r="P10" s="24">
        <v>20.36</v>
      </c>
      <c r="Q10" s="24"/>
      <c r="R10" s="24"/>
      <c r="S10" s="24" t="s">
        <v>124</v>
      </c>
      <c r="T10" s="25"/>
      <c r="U10" s="25"/>
      <c r="V10" s="42" t="e">
        <f t="shared" si="0"/>
        <v>#DIV/0!</v>
      </c>
      <c r="W10" s="15" t="s">
        <v>34</v>
      </c>
      <c r="X10" s="15">
        <v>2</v>
      </c>
      <c r="Y10" s="15">
        <v>1.2949999999999999</v>
      </c>
      <c r="Z10" s="15">
        <v>97.04</v>
      </c>
      <c r="AA10" s="15">
        <v>20.36</v>
      </c>
      <c r="AB10" s="42">
        <f t="shared" si="1"/>
        <v>3.9783889980353641E-2</v>
      </c>
    </row>
    <row r="11" spans="1:28" ht="30" customHeight="1">
      <c r="A11" s="8" t="s">
        <v>40</v>
      </c>
      <c r="B11" s="9">
        <v>1</v>
      </c>
      <c r="C11" s="9" t="s">
        <v>125</v>
      </c>
      <c r="D11" s="7" t="s">
        <v>126</v>
      </c>
      <c r="E11" s="9" t="s">
        <v>24</v>
      </c>
      <c r="F11" s="9" t="s">
        <v>24</v>
      </c>
      <c r="G11" s="24" t="s">
        <v>122</v>
      </c>
      <c r="H11" s="24">
        <v>1</v>
      </c>
      <c r="I11" s="24">
        <v>10.427</v>
      </c>
      <c r="J11" s="25">
        <v>1442.68</v>
      </c>
      <c r="K11" s="25">
        <v>0.69</v>
      </c>
      <c r="L11" s="24" t="s">
        <v>34</v>
      </c>
      <c r="M11" s="24">
        <v>8</v>
      </c>
      <c r="N11" s="24">
        <v>3.7770000000000001</v>
      </c>
      <c r="O11" s="24">
        <v>98.87</v>
      </c>
      <c r="P11" s="24">
        <v>78.069999999999993</v>
      </c>
      <c r="Q11" s="24"/>
      <c r="R11" s="24"/>
      <c r="S11" s="24" t="s">
        <v>124</v>
      </c>
      <c r="T11" s="25"/>
      <c r="U11" s="25"/>
      <c r="V11" s="42" t="e">
        <f t="shared" si="0"/>
        <v>#DIV/0!</v>
      </c>
      <c r="W11" s="26" t="s">
        <v>34</v>
      </c>
      <c r="X11" s="15">
        <v>8</v>
      </c>
      <c r="Y11" s="15">
        <v>3.7770000000000001</v>
      </c>
      <c r="Z11" s="15">
        <v>98.87</v>
      </c>
      <c r="AA11" s="15">
        <v>78.069999999999993</v>
      </c>
      <c r="AB11" s="42">
        <f t="shared" si="1"/>
        <v>8.8382221083642878E-3</v>
      </c>
    </row>
    <row r="12" spans="1:28" ht="15.75" customHeight="1">
      <c r="A12" s="8" t="s">
        <v>42</v>
      </c>
      <c r="C12" s="9" t="s">
        <v>125</v>
      </c>
      <c r="D12" s="7" t="s">
        <v>127</v>
      </c>
      <c r="E12" s="9" t="s">
        <v>24</v>
      </c>
      <c r="F12" s="9" t="s">
        <v>24</v>
      </c>
      <c r="G12" s="24" t="s">
        <v>128</v>
      </c>
      <c r="H12" s="24">
        <v>1</v>
      </c>
      <c r="I12" s="24">
        <v>3.1579999999999999</v>
      </c>
      <c r="J12" s="25">
        <v>289.51</v>
      </c>
      <c r="K12" s="25">
        <v>3.42</v>
      </c>
      <c r="L12" s="26" t="s">
        <v>44</v>
      </c>
      <c r="M12" s="23">
        <v>1</v>
      </c>
      <c r="N12" s="23">
        <v>1.208</v>
      </c>
      <c r="O12" s="23">
        <v>103</v>
      </c>
      <c r="P12" s="23">
        <v>9.67</v>
      </c>
      <c r="Q12" s="15"/>
      <c r="R12" s="24">
        <v>1</v>
      </c>
      <c r="S12" s="24">
        <v>4.1349999999999998</v>
      </c>
      <c r="T12" s="25">
        <v>307441</v>
      </c>
      <c r="U12" s="25">
        <v>3.29</v>
      </c>
      <c r="V12" s="42">
        <f t="shared" si="0"/>
        <v>1.0395136778115501</v>
      </c>
      <c r="W12" s="26" t="s">
        <v>44</v>
      </c>
      <c r="X12" s="23">
        <v>1</v>
      </c>
      <c r="Y12" s="23">
        <v>1.208</v>
      </c>
      <c r="Z12" s="23">
        <v>103</v>
      </c>
      <c r="AA12" s="23">
        <v>9.67</v>
      </c>
      <c r="AB12" s="42">
        <f t="shared" si="1"/>
        <v>0.35367114788004134</v>
      </c>
    </row>
    <row r="13" spans="1:28" ht="15.75" customHeight="1">
      <c r="A13" s="8" t="s">
        <v>46</v>
      </c>
      <c r="B13" s="7"/>
      <c r="C13" s="7" t="s">
        <v>125</v>
      </c>
      <c r="D13" s="7" t="s">
        <v>130</v>
      </c>
      <c r="E13" s="9" t="s">
        <v>24</v>
      </c>
      <c r="F13" s="9" t="s">
        <v>24</v>
      </c>
      <c r="G13" s="24" t="s">
        <v>122</v>
      </c>
      <c r="H13" s="24">
        <v>1</v>
      </c>
      <c r="I13" s="24">
        <v>3.4009999999999998</v>
      </c>
      <c r="J13" s="25">
        <v>249.7</v>
      </c>
      <c r="K13" s="25">
        <v>3.96</v>
      </c>
      <c r="L13" s="26" t="s">
        <v>34</v>
      </c>
      <c r="M13" s="15">
        <v>2</v>
      </c>
      <c r="N13" s="15">
        <v>1.6160000000000001</v>
      </c>
      <c r="O13" s="15">
        <v>84.01</v>
      </c>
      <c r="P13" s="15">
        <v>23.39</v>
      </c>
      <c r="Q13" s="15"/>
      <c r="R13" s="24">
        <v>1</v>
      </c>
      <c r="S13" s="24">
        <v>3.5310000000000001</v>
      </c>
      <c r="T13" s="25">
        <v>247.66</v>
      </c>
      <c r="U13" s="25">
        <v>7.98</v>
      </c>
      <c r="V13" s="42">
        <f t="shared" si="0"/>
        <v>0.49624060150375937</v>
      </c>
      <c r="W13" s="26" t="s">
        <v>34</v>
      </c>
      <c r="X13" s="15">
        <v>2</v>
      </c>
      <c r="Y13" s="15">
        <v>1.6160000000000001</v>
      </c>
      <c r="Z13" s="15">
        <v>84.01</v>
      </c>
      <c r="AA13" s="15">
        <v>23.39</v>
      </c>
      <c r="AB13" s="42">
        <f t="shared" si="1"/>
        <v>0.16930312099187686</v>
      </c>
    </row>
    <row r="14" spans="1:28" ht="15.75" customHeight="1">
      <c r="A14" s="8" t="s">
        <v>47</v>
      </c>
      <c r="C14" s="9">
        <v>185</v>
      </c>
      <c r="D14" s="7" t="s">
        <v>132</v>
      </c>
      <c r="E14" s="9" t="s">
        <v>24</v>
      </c>
      <c r="F14" s="9" t="s">
        <v>24</v>
      </c>
      <c r="G14" s="24" t="s">
        <v>128</v>
      </c>
      <c r="H14" s="24"/>
      <c r="I14" s="24" t="s">
        <v>49</v>
      </c>
      <c r="J14" s="25"/>
      <c r="K14" s="25"/>
      <c r="L14" s="15" t="s">
        <v>44</v>
      </c>
      <c r="M14" s="15">
        <v>8</v>
      </c>
      <c r="N14" s="15">
        <v>4.8209999999999997</v>
      </c>
      <c r="O14" s="15">
        <v>59.2</v>
      </c>
      <c r="P14" s="15">
        <v>125.27</v>
      </c>
      <c r="Q14" s="15"/>
      <c r="R14" s="24"/>
      <c r="S14" s="24" t="s">
        <v>49</v>
      </c>
      <c r="T14" s="25"/>
      <c r="U14" s="25"/>
      <c r="V14" s="42" t="e">
        <f t="shared" si="0"/>
        <v>#DIV/0!</v>
      </c>
      <c r="W14" s="15" t="s">
        <v>44</v>
      </c>
      <c r="X14" s="15">
        <v>8</v>
      </c>
      <c r="Y14" s="15">
        <v>4.8209999999999997</v>
      </c>
      <c r="Z14" s="15">
        <v>59.2</v>
      </c>
      <c r="AA14" s="15">
        <v>125.27</v>
      </c>
      <c r="AB14" s="42">
        <f t="shared" si="1"/>
        <v>0</v>
      </c>
    </row>
    <row r="15" spans="1:28" ht="15.75" customHeight="1">
      <c r="A15" s="43" t="s">
        <v>51</v>
      </c>
      <c r="C15" s="9">
        <v>185</v>
      </c>
      <c r="D15" s="7" t="s">
        <v>133</v>
      </c>
      <c r="E15" s="9" t="s">
        <v>24</v>
      </c>
      <c r="F15" s="9" t="s">
        <v>24</v>
      </c>
      <c r="G15" s="17" t="s">
        <v>25</v>
      </c>
      <c r="H15" s="17">
        <v>1</v>
      </c>
      <c r="I15" s="17">
        <v>0.52400000000000002</v>
      </c>
      <c r="J15" s="28">
        <v>74.180000000000007</v>
      </c>
      <c r="K15" s="28">
        <v>13.4</v>
      </c>
      <c r="L15" s="15" t="s">
        <v>25</v>
      </c>
      <c r="M15" s="15">
        <v>640</v>
      </c>
      <c r="N15" s="29">
        <v>3.4249999999999998</v>
      </c>
      <c r="O15" s="29">
        <v>99.81</v>
      </c>
      <c r="P15" s="29">
        <v>5575.87</v>
      </c>
      <c r="Q15" s="15"/>
      <c r="R15" s="17">
        <v>26</v>
      </c>
      <c r="S15" s="17">
        <v>0.74</v>
      </c>
      <c r="T15" s="28">
        <v>29.51</v>
      </c>
      <c r="U15" s="28">
        <v>758.29</v>
      </c>
      <c r="V15" s="42">
        <f t="shared" si="0"/>
        <v>1.7671339461156024E-2</v>
      </c>
      <c r="W15" s="15" t="s">
        <v>25</v>
      </c>
      <c r="X15" s="15">
        <v>640</v>
      </c>
      <c r="Y15" s="29">
        <v>3.4249999999999998</v>
      </c>
      <c r="Z15" s="29">
        <v>99.81</v>
      </c>
      <c r="AA15" s="29">
        <v>5575.87</v>
      </c>
      <c r="AB15" s="42">
        <f t="shared" si="1"/>
        <v>2.403212413488837E-3</v>
      </c>
    </row>
    <row r="16" spans="1:28" ht="15.75" customHeight="1">
      <c r="A16" s="8" t="s">
        <v>52</v>
      </c>
      <c r="C16" s="9" t="s">
        <v>125</v>
      </c>
      <c r="D16" s="7" t="s">
        <v>134</v>
      </c>
      <c r="E16" s="9" t="s">
        <v>24</v>
      </c>
      <c r="F16" s="9" t="s">
        <v>24</v>
      </c>
      <c r="G16" s="24" t="s">
        <v>25</v>
      </c>
      <c r="H16" s="49" t="s">
        <v>214</v>
      </c>
      <c r="I16" s="24" t="s">
        <v>215</v>
      </c>
      <c r="J16" s="25" t="s">
        <v>216</v>
      </c>
      <c r="K16" s="25" t="s">
        <v>217</v>
      </c>
      <c r="L16" s="26" t="s">
        <v>25</v>
      </c>
      <c r="M16" s="15">
        <v>152</v>
      </c>
      <c r="N16" s="15">
        <v>4.9870000000000001</v>
      </c>
      <c r="O16" s="15">
        <v>84.07</v>
      </c>
      <c r="P16" s="15">
        <v>1600.89</v>
      </c>
      <c r="Q16" s="15"/>
      <c r="R16" s="17">
        <v>21</v>
      </c>
      <c r="S16" s="17">
        <v>4.3019999999999996</v>
      </c>
      <c r="T16" s="28">
        <v>71.06</v>
      </c>
      <c r="U16" s="28">
        <v>278.36</v>
      </c>
      <c r="V16" s="42" t="e">
        <f t="shared" si="0"/>
        <v>#VALUE!</v>
      </c>
      <c r="W16" s="26" t="s">
        <v>25</v>
      </c>
      <c r="X16" s="15">
        <v>152</v>
      </c>
      <c r="Y16" s="15">
        <v>4.9870000000000001</v>
      </c>
      <c r="Z16" s="15">
        <v>84.07</v>
      </c>
      <c r="AA16" s="15">
        <v>1600.89</v>
      </c>
      <c r="AB16" s="42" t="e">
        <f t="shared" si="1"/>
        <v>#VALUE!</v>
      </c>
    </row>
    <row r="17" spans="1:28" ht="15.75" customHeight="1">
      <c r="A17" s="8" t="s">
        <v>54</v>
      </c>
      <c r="C17" s="9">
        <v>185</v>
      </c>
      <c r="D17" s="7" t="s">
        <v>135</v>
      </c>
      <c r="E17" s="9" t="s">
        <v>24</v>
      </c>
      <c r="F17" s="9" t="s">
        <v>24</v>
      </c>
      <c r="G17" s="24" t="s">
        <v>128</v>
      </c>
      <c r="H17" s="24">
        <v>1</v>
      </c>
      <c r="I17" s="24">
        <v>4.1230000000000002</v>
      </c>
      <c r="J17" s="25">
        <v>537.1</v>
      </c>
      <c r="K17" s="25">
        <v>1.85</v>
      </c>
      <c r="L17" s="15" t="s">
        <v>44</v>
      </c>
      <c r="M17" s="15">
        <v>22</v>
      </c>
      <c r="N17" s="15">
        <v>1.806</v>
      </c>
      <c r="O17" s="15">
        <v>99.77</v>
      </c>
      <c r="P17" s="15">
        <v>210.46</v>
      </c>
      <c r="Q17" s="15" t="s">
        <v>136</v>
      </c>
      <c r="R17" s="24">
        <v>1</v>
      </c>
      <c r="S17" s="24">
        <v>1.4550000000000001</v>
      </c>
      <c r="T17" s="25">
        <v>130.31</v>
      </c>
      <c r="U17" s="25">
        <v>15.2</v>
      </c>
      <c r="V17" s="42">
        <f t="shared" si="0"/>
        <v>0.12171052631578949</v>
      </c>
      <c r="W17" s="15" t="s">
        <v>44</v>
      </c>
      <c r="X17" s="15">
        <v>22</v>
      </c>
      <c r="Y17" s="15">
        <v>1.806</v>
      </c>
      <c r="Z17" s="15">
        <v>99.77</v>
      </c>
      <c r="AA17" s="15">
        <v>210.46</v>
      </c>
      <c r="AB17" s="42">
        <f t="shared" si="1"/>
        <v>8.7902689347144347E-3</v>
      </c>
    </row>
    <row r="18" spans="1:28" ht="15.75" customHeight="1">
      <c r="A18" s="8" t="s">
        <v>57</v>
      </c>
      <c r="C18" s="9" t="s">
        <v>125</v>
      </c>
      <c r="D18" s="7" t="s">
        <v>138</v>
      </c>
      <c r="E18" s="9" t="s">
        <v>24</v>
      </c>
      <c r="F18" s="9" t="s">
        <v>24</v>
      </c>
      <c r="G18" s="17" t="s">
        <v>25</v>
      </c>
      <c r="H18" s="17">
        <v>17</v>
      </c>
      <c r="I18" s="17">
        <v>2.0819999999999999</v>
      </c>
      <c r="J18" s="28">
        <v>98.83</v>
      </c>
      <c r="K18" s="28">
        <v>166.11</v>
      </c>
      <c r="L18" s="26" t="s">
        <v>25</v>
      </c>
      <c r="M18" s="15">
        <v>14</v>
      </c>
      <c r="N18" s="15">
        <v>1.66</v>
      </c>
      <c r="O18" s="15">
        <v>96.69</v>
      </c>
      <c r="P18" s="15">
        <v>131.36000000000001</v>
      </c>
      <c r="Q18" s="15"/>
      <c r="R18" s="17">
        <v>1</v>
      </c>
      <c r="S18" s="17">
        <v>1.056</v>
      </c>
      <c r="T18" s="28">
        <v>93.69</v>
      </c>
      <c r="U18" s="28">
        <v>10.98</v>
      </c>
      <c r="V18" s="42">
        <f t="shared" si="0"/>
        <v>15.128415300546449</v>
      </c>
      <c r="W18" s="26" t="s">
        <v>25</v>
      </c>
      <c r="X18" s="15">
        <v>14</v>
      </c>
      <c r="Y18" s="15">
        <v>1.66</v>
      </c>
      <c r="Z18" s="15">
        <v>96.69</v>
      </c>
      <c r="AA18" s="15">
        <v>131.36000000000001</v>
      </c>
      <c r="AB18" s="42">
        <f t="shared" si="1"/>
        <v>1.2645401948842874</v>
      </c>
    </row>
    <row r="19" spans="1:28" ht="15.75" customHeight="1">
      <c r="A19" s="8" t="s">
        <v>58</v>
      </c>
      <c r="C19" s="9">
        <v>185</v>
      </c>
      <c r="D19" s="7" t="s">
        <v>139</v>
      </c>
      <c r="E19" s="9" t="s">
        <v>24</v>
      </c>
      <c r="F19" s="9" t="s">
        <v>24</v>
      </c>
      <c r="G19" s="24" t="s">
        <v>128</v>
      </c>
      <c r="H19" s="24">
        <v>1</v>
      </c>
      <c r="I19" s="24">
        <v>1.4019999999999999</v>
      </c>
      <c r="J19" s="25">
        <v>130.02000000000001</v>
      </c>
      <c r="K19" s="25">
        <v>7.6</v>
      </c>
      <c r="L19" s="15" t="s">
        <v>44</v>
      </c>
      <c r="M19" s="15">
        <v>16</v>
      </c>
      <c r="N19" s="15">
        <v>4.7889999999999997</v>
      </c>
      <c r="O19" s="15">
        <v>75.180000000000007</v>
      </c>
      <c r="P19" s="15">
        <v>200.5</v>
      </c>
      <c r="Q19" s="15" t="s">
        <v>140</v>
      </c>
      <c r="R19" s="24">
        <v>1</v>
      </c>
      <c r="S19" s="24">
        <v>1.762</v>
      </c>
      <c r="T19" s="25">
        <v>207.64</v>
      </c>
      <c r="U19" s="25">
        <v>11.92</v>
      </c>
      <c r="V19" s="47">
        <f t="shared" si="0"/>
        <v>0.63758389261744963</v>
      </c>
      <c r="W19" s="15" t="s">
        <v>44</v>
      </c>
      <c r="X19" s="15">
        <v>16</v>
      </c>
      <c r="Y19" s="15">
        <v>4.7889999999999997</v>
      </c>
      <c r="Z19" s="15">
        <v>75.180000000000007</v>
      </c>
      <c r="AA19" s="15">
        <v>200.5</v>
      </c>
      <c r="AB19" s="42">
        <f t="shared" si="1"/>
        <v>3.790523690773067E-2</v>
      </c>
    </row>
    <row r="20" spans="1:28" ht="15.75" customHeight="1">
      <c r="A20" s="43" t="s">
        <v>59</v>
      </c>
      <c r="B20" s="9">
        <v>1</v>
      </c>
      <c r="C20" s="9">
        <v>185</v>
      </c>
      <c r="D20" s="7" t="s">
        <v>141</v>
      </c>
      <c r="E20" s="9" t="s">
        <v>24</v>
      </c>
      <c r="F20" s="9" t="s">
        <v>24</v>
      </c>
      <c r="G20" s="17" t="s">
        <v>25</v>
      </c>
      <c r="H20" s="17">
        <v>1</v>
      </c>
      <c r="I20" s="17">
        <v>2.7570000000000001</v>
      </c>
      <c r="J20" s="28">
        <v>742.38</v>
      </c>
      <c r="K20" s="28">
        <v>1.34</v>
      </c>
      <c r="L20" s="15" t="s">
        <v>25</v>
      </c>
      <c r="M20" s="15">
        <v>89</v>
      </c>
      <c r="N20" s="15">
        <v>4.9489999999999998</v>
      </c>
      <c r="O20" s="15">
        <v>85.14</v>
      </c>
      <c r="P20" s="15">
        <v>546.47</v>
      </c>
      <c r="Q20" s="15"/>
      <c r="R20" s="17">
        <v>11</v>
      </c>
      <c r="S20" s="17">
        <v>2.399</v>
      </c>
      <c r="T20" s="28">
        <v>96.16</v>
      </c>
      <c r="U20" s="28">
        <v>111.54</v>
      </c>
      <c r="V20" s="42">
        <f t="shared" si="0"/>
        <v>1.2013627398242783E-2</v>
      </c>
      <c r="W20" s="15" t="s">
        <v>25</v>
      </c>
      <c r="X20" s="15">
        <v>89</v>
      </c>
      <c r="Y20" s="15">
        <v>4.9489999999999998</v>
      </c>
      <c r="Z20" s="15">
        <v>85.14</v>
      </c>
      <c r="AA20" s="15">
        <v>546.47</v>
      </c>
      <c r="AB20" s="42">
        <f t="shared" si="1"/>
        <v>2.452101670723004E-3</v>
      </c>
    </row>
    <row r="21" spans="1:28" ht="15.75" customHeight="1">
      <c r="A21" s="8" t="s">
        <v>60</v>
      </c>
      <c r="C21" s="9">
        <v>185</v>
      </c>
      <c r="D21" s="7" t="s">
        <v>142</v>
      </c>
      <c r="E21" s="9" t="s">
        <v>24</v>
      </c>
      <c r="F21" s="9" t="s">
        <v>24</v>
      </c>
      <c r="G21" s="24" t="s">
        <v>128</v>
      </c>
      <c r="H21" s="24">
        <v>1</v>
      </c>
      <c r="I21" s="24">
        <v>1.2669999999999999</v>
      </c>
      <c r="J21" s="25">
        <v>130.07</v>
      </c>
      <c r="K21" s="25">
        <v>7.62</v>
      </c>
      <c r="L21" s="15" t="s">
        <v>44</v>
      </c>
      <c r="M21" s="15">
        <v>16</v>
      </c>
      <c r="N21" s="15">
        <v>0.96799999999999997</v>
      </c>
      <c r="O21" s="15">
        <v>67.900000000000006</v>
      </c>
      <c r="P21" s="15">
        <v>220.11</v>
      </c>
      <c r="Q21" s="15"/>
      <c r="R21" s="24">
        <v>1</v>
      </c>
      <c r="S21" s="24">
        <v>1.7370000000000001</v>
      </c>
      <c r="T21" s="25">
        <v>141</v>
      </c>
      <c r="U21" s="25">
        <v>14.03</v>
      </c>
      <c r="V21" s="42">
        <f t="shared" si="0"/>
        <v>0.54312188168210984</v>
      </c>
      <c r="W21" s="15" t="s">
        <v>44</v>
      </c>
      <c r="X21" s="15">
        <v>16</v>
      </c>
      <c r="Y21" s="15">
        <v>0.96799999999999997</v>
      </c>
      <c r="Z21" s="15">
        <v>67.900000000000006</v>
      </c>
      <c r="AA21" s="15">
        <v>220.11</v>
      </c>
      <c r="AB21" s="42">
        <f t="shared" si="1"/>
        <v>3.4619054109308982E-2</v>
      </c>
    </row>
    <row r="22" spans="1:28" ht="15.75" customHeight="1">
      <c r="A22" s="8" t="s">
        <v>61</v>
      </c>
      <c r="C22" s="9">
        <v>185</v>
      </c>
      <c r="D22" s="7" t="s">
        <v>143</v>
      </c>
      <c r="E22" s="9" t="s">
        <v>24</v>
      </c>
      <c r="F22" s="9" t="s">
        <v>24</v>
      </c>
      <c r="G22" s="17" t="s">
        <v>128</v>
      </c>
      <c r="H22" s="30">
        <v>17</v>
      </c>
      <c r="I22" s="30">
        <v>2.786</v>
      </c>
      <c r="J22" s="30">
        <v>86.13</v>
      </c>
      <c r="K22" s="19">
        <v>179.26</v>
      </c>
      <c r="L22" s="15" t="s">
        <v>44</v>
      </c>
      <c r="M22" s="15">
        <v>21</v>
      </c>
      <c r="N22" s="15">
        <v>0.89400000000000002</v>
      </c>
      <c r="O22" s="15">
        <v>100.48</v>
      </c>
      <c r="P22" s="15">
        <v>203.45</v>
      </c>
      <c r="Q22" s="15"/>
      <c r="R22" s="30">
        <v>11</v>
      </c>
      <c r="S22" s="30">
        <v>2.6930000000000001</v>
      </c>
      <c r="T22" s="30">
        <v>90.66</v>
      </c>
      <c r="U22" s="19">
        <v>112.89</v>
      </c>
      <c r="V22" s="42">
        <f t="shared" si="0"/>
        <v>1.5879174417574629</v>
      </c>
      <c r="W22" s="15" t="s">
        <v>44</v>
      </c>
      <c r="X22" s="15">
        <v>21</v>
      </c>
      <c r="Y22" s="15">
        <v>0.89400000000000002</v>
      </c>
      <c r="Z22" s="15">
        <v>100.48</v>
      </c>
      <c r="AA22" s="15">
        <v>203.45</v>
      </c>
      <c r="AB22" s="42">
        <f t="shared" si="1"/>
        <v>0.88110100761857946</v>
      </c>
    </row>
    <row r="23" spans="1:28" ht="15.75" customHeight="1">
      <c r="A23" s="8" t="s">
        <v>63</v>
      </c>
      <c r="C23" s="9">
        <v>185</v>
      </c>
      <c r="D23" s="7" t="s">
        <v>144</v>
      </c>
      <c r="E23" s="9" t="s">
        <v>24</v>
      </c>
      <c r="F23" s="9" t="s">
        <v>24</v>
      </c>
      <c r="G23" s="24" t="s">
        <v>128</v>
      </c>
      <c r="H23" s="24" t="s">
        <v>218</v>
      </c>
      <c r="I23" s="24"/>
      <c r="J23" s="25"/>
      <c r="K23" s="25"/>
      <c r="L23" s="15" t="s">
        <v>44</v>
      </c>
      <c r="M23" s="15">
        <v>23</v>
      </c>
      <c r="N23" s="15">
        <v>1.899</v>
      </c>
      <c r="O23" s="15">
        <v>98.89</v>
      </c>
      <c r="P23" s="15">
        <v>228.5</v>
      </c>
      <c r="Q23" s="15" t="s">
        <v>140</v>
      </c>
      <c r="R23" s="24">
        <v>1</v>
      </c>
      <c r="S23" s="24">
        <v>0.64700000000000002</v>
      </c>
      <c r="T23" s="25">
        <v>4129</v>
      </c>
      <c r="U23" s="25">
        <v>16.62</v>
      </c>
      <c r="V23" s="42">
        <f t="shared" si="0"/>
        <v>0</v>
      </c>
      <c r="W23" s="15" t="s">
        <v>44</v>
      </c>
      <c r="X23" s="15">
        <v>23</v>
      </c>
      <c r="Y23" s="15">
        <v>1.899</v>
      </c>
      <c r="Z23" s="15">
        <v>98.89</v>
      </c>
      <c r="AA23" s="15">
        <v>228.5</v>
      </c>
      <c r="AB23" s="42">
        <f t="shared" si="1"/>
        <v>0</v>
      </c>
    </row>
    <row r="24" spans="1:28" ht="15.75" customHeight="1">
      <c r="A24" s="8" t="s">
        <v>146</v>
      </c>
      <c r="C24" s="9">
        <v>185</v>
      </c>
      <c r="D24" s="7" t="s">
        <v>147</v>
      </c>
      <c r="E24" s="9" t="s">
        <v>24</v>
      </c>
      <c r="F24" s="9" t="s">
        <v>24</v>
      </c>
      <c r="G24" s="31" t="s">
        <v>148</v>
      </c>
      <c r="H24" s="31"/>
      <c r="I24" s="31"/>
      <c r="J24" s="32"/>
      <c r="K24" s="32"/>
      <c r="L24" s="33" t="s">
        <v>34</v>
      </c>
      <c r="M24" s="15">
        <v>30</v>
      </c>
      <c r="N24" s="15">
        <v>3.895</v>
      </c>
      <c r="O24" s="15">
        <v>99.12</v>
      </c>
      <c r="P24" s="15">
        <v>291.7</v>
      </c>
      <c r="Q24" s="15" t="s">
        <v>140</v>
      </c>
      <c r="R24" s="31"/>
      <c r="S24" s="31"/>
      <c r="T24" s="32"/>
      <c r="U24" s="32"/>
      <c r="V24" s="42" t="e">
        <f t="shared" si="0"/>
        <v>#DIV/0!</v>
      </c>
      <c r="W24" s="33" t="s">
        <v>34</v>
      </c>
      <c r="X24" s="15">
        <v>30</v>
      </c>
      <c r="Y24" s="15">
        <v>3.895</v>
      </c>
      <c r="Z24" s="15">
        <v>99.12</v>
      </c>
      <c r="AA24" s="15">
        <v>291.7</v>
      </c>
      <c r="AB24" s="42"/>
    </row>
    <row r="25" spans="1:28" ht="15.75" customHeight="1">
      <c r="A25" s="8" t="s">
        <v>149</v>
      </c>
      <c r="C25" s="9">
        <v>185</v>
      </c>
      <c r="D25" s="7" t="s">
        <v>150</v>
      </c>
      <c r="E25" s="9" t="s">
        <v>24</v>
      </c>
      <c r="F25" s="9" t="s">
        <v>24</v>
      </c>
      <c r="G25" s="31" t="s">
        <v>148</v>
      </c>
      <c r="H25" s="31"/>
      <c r="I25" s="31"/>
      <c r="J25" s="32"/>
      <c r="K25" s="32"/>
      <c r="L25" s="15" t="s">
        <v>44</v>
      </c>
      <c r="M25" s="15">
        <v>23</v>
      </c>
      <c r="N25" s="15">
        <v>2.02</v>
      </c>
      <c r="O25" s="15">
        <v>98.57</v>
      </c>
      <c r="P25" s="15">
        <v>228.94</v>
      </c>
      <c r="Q25" s="15" t="s">
        <v>140</v>
      </c>
      <c r="R25" s="31"/>
      <c r="S25" s="31"/>
      <c r="T25" s="32"/>
      <c r="U25" s="32"/>
      <c r="V25" s="42" t="e">
        <f t="shared" si="0"/>
        <v>#DIV/0!</v>
      </c>
      <c r="W25" s="15" t="s">
        <v>44</v>
      </c>
      <c r="X25" s="15">
        <v>23</v>
      </c>
      <c r="Y25" s="15">
        <v>2.02</v>
      </c>
      <c r="Z25" s="15">
        <v>98.57</v>
      </c>
      <c r="AA25" s="15">
        <v>228.94</v>
      </c>
      <c r="AB25" s="42"/>
    </row>
    <row r="26" spans="1:28" ht="15.75" customHeight="1">
      <c r="A26" s="8" t="s">
        <v>67</v>
      </c>
      <c r="C26" s="9" t="s">
        <v>125</v>
      </c>
      <c r="D26" s="7" t="s">
        <v>151</v>
      </c>
      <c r="E26" s="9" t="s">
        <v>24</v>
      </c>
      <c r="F26" s="9" t="s">
        <v>24</v>
      </c>
      <c r="G26" s="17" t="s">
        <v>25</v>
      </c>
      <c r="H26" s="17">
        <v>336</v>
      </c>
      <c r="I26" s="17">
        <v>4.9359999999999999</v>
      </c>
      <c r="J26" s="28">
        <v>85.05</v>
      </c>
      <c r="K26" s="28">
        <v>3712.36</v>
      </c>
      <c r="L26" s="26" t="s">
        <v>25</v>
      </c>
      <c r="M26" s="15">
        <v>312</v>
      </c>
      <c r="N26" s="15">
        <v>4.2709999999999999</v>
      </c>
      <c r="O26" s="15">
        <v>99.56</v>
      </c>
      <c r="P26" s="15">
        <v>2775.37</v>
      </c>
      <c r="Q26" s="15"/>
      <c r="R26" s="17">
        <v>16</v>
      </c>
      <c r="S26" s="17">
        <v>1.397</v>
      </c>
      <c r="T26" s="28">
        <v>32.700000000000003</v>
      </c>
      <c r="U26" s="28">
        <v>398.1</v>
      </c>
      <c r="V26" s="42">
        <f t="shared" si="0"/>
        <v>9.3251946747048482</v>
      </c>
      <c r="W26" s="26" t="s">
        <v>25</v>
      </c>
      <c r="X26" s="15">
        <v>312</v>
      </c>
      <c r="Y26" s="15">
        <v>4.2709999999999999</v>
      </c>
      <c r="Z26" s="15">
        <v>99.56</v>
      </c>
      <c r="AA26" s="15">
        <v>2775.37</v>
      </c>
      <c r="AB26" s="42">
        <f t="shared" si="1"/>
        <v>1.3376090395154521</v>
      </c>
    </row>
    <row r="27" spans="1:28" ht="15.75" customHeight="1">
      <c r="A27" s="8" t="s">
        <v>68</v>
      </c>
      <c r="C27" s="9" t="s">
        <v>125</v>
      </c>
      <c r="D27" s="7" t="s">
        <v>152</v>
      </c>
      <c r="E27" s="9" t="s">
        <v>24</v>
      </c>
      <c r="F27" s="9" t="s">
        <v>24</v>
      </c>
      <c r="G27" s="17" t="s">
        <v>25</v>
      </c>
      <c r="H27" s="17">
        <v>89</v>
      </c>
      <c r="I27" s="17">
        <v>3.54</v>
      </c>
      <c r="J27" s="28">
        <v>61.08</v>
      </c>
      <c r="K27" s="28">
        <v>1361.46</v>
      </c>
      <c r="L27" s="26" t="s">
        <v>25</v>
      </c>
      <c r="M27" s="15">
        <v>134</v>
      </c>
      <c r="N27" s="15">
        <v>4.8959999999999999</v>
      </c>
      <c r="O27" s="15">
        <v>90.71</v>
      </c>
      <c r="P27" s="15">
        <v>1307.1300000000001</v>
      </c>
      <c r="Q27" s="15"/>
      <c r="R27" s="17">
        <v>16</v>
      </c>
      <c r="S27" s="17">
        <v>3.7509999999999999</v>
      </c>
      <c r="T27" s="28">
        <v>61.5</v>
      </c>
      <c r="U27" s="28">
        <v>245.11</v>
      </c>
      <c r="V27" s="42">
        <f t="shared" si="0"/>
        <v>5.5544857410958342</v>
      </c>
      <c r="W27" s="26" t="s">
        <v>25</v>
      </c>
      <c r="X27" s="15">
        <v>134</v>
      </c>
      <c r="Y27" s="15">
        <v>4.8959999999999999</v>
      </c>
      <c r="Z27" s="15">
        <v>90.71</v>
      </c>
      <c r="AA27" s="15">
        <v>1307.1300000000001</v>
      </c>
      <c r="AB27" s="42">
        <f t="shared" si="1"/>
        <v>1.0415643432558352</v>
      </c>
    </row>
    <row r="28" spans="1:28" ht="15.75" customHeight="1">
      <c r="A28" s="8" t="s">
        <v>69</v>
      </c>
      <c r="C28" s="9" t="s">
        <v>125</v>
      </c>
      <c r="D28" s="7" t="s">
        <v>153</v>
      </c>
      <c r="E28" s="9" t="s">
        <v>24</v>
      </c>
      <c r="F28" s="9" t="s">
        <v>24</v>
      </c>
      <c r="G28" s="17" t="s">
        <v>25</v>
      </c>
      <c r="H28" s="34">
        <v>15</v>
      </c>
      <c r="I28" s="34">
        <v>1.54</v>
      </c>
      <c r="J28" s="35">
        <v>84.47</v>
      </c>
      <c r="K28" s="28">
        <v>177.56</v>
      </c>
      <c r="L28" s="26" t="s">
        <v>25</v>
      </c>
      <c r="M28" s="15">
        <v>67</v>
      </c>
      <c r="N28" s="15">
        <v>4.9930000000000003</v>
      </c>
      <c r="O28" s="15">
        <v>99.9</v>
      </c>
      <c r="P28" s="15">
        <v>609.70000000000005</v>
      </c>
      <c r="Q28" s="15"/>
      <c r="R28" s="34">
        <v>11</v>
      </c>
      <c r="S28" s="34">
        <v>4.4720000000000004</v>
      </c>
      <c r="T28" s="35">
        <v>90.48</v>
      </c>
      <c r="U28" s="28">
        <v>113.94</v>
      </c>
      <c r="V28" s="42">
        <f t="shared" si="0"/>
        <v>1.5583640512550465</v>
      </c>
      <c r="W28" s="26" t="s">
        <v>25</v>
      </c>
      <c r="X28" s="15">
        <v>67</v>
      </c>
      <c r="Y28" s="15">
        <v>4.9930000000000003</v>
      </c>
      <c r="Z28" s="15">
        <v>99.9</v>
      </c>
      <c r="AA28" s="15">
        <v>609.70000000000005</v>
      </c>
      <c r="AB28" s="42">
        <f t="shared" si="1"/>
        <v>0.29122519271773001</v>
      </c>
    </row>
    <row r="29" spans="1:28" ht="15.75" customHeight="1">
      <c r="A29" s="8" t="s">
        <v>71</v>
      </c>
      <c r="C29" s="9" t="s">
        <v>125</v>
      </c>
      <c r="D29" s="7" t="s">
        <v>154</v>
      </c>
      <c r="E29" s="9" t="s">
        <v>24</v>
      </c>
      <c r="F29" s="9" t="s">
        <v>24</v>
      </c>
      <c r="G29" s="28" t="s">
        <v>25</v>
      </c>
      <c r="H29" s="17">
        <v>15</v>
      </c>
      <c r="I29" s="17">
        <v>1.37</v>
      </c>
      <c r="J29" s="28">
        <v>79.400000000000006</v>
      </c>
      <c r="K29" s="19">
        <v>177.57</v>
      </c>
      <c r="L29" s="26" t="s">
        <v>25</v>
      </c>
      <c r="M29" s="15">
        <v>56</v>
      </c>
      <c r="N29" s="15">
        <v>4.7450000000000001</v>
      </c>
      <c r="O29" s="15">
        <v>81.36</v>
      </c>
      <c r="P29" s="15">
        <v>476.17</v>
      </c>
      <c r="Q29" s="15"/>
      <c r="R29" s="17">
        <v>1</v>
      </c>
      <c r="S29" s="17">
        <v>0.76</v>
      </c>
      <c r="T29" s="28">
        <v>74.55</v>
      </c>
      <c r="U29" s="19">
        <v>13.29</v>
      </c>
      <c r="V29" s="42">
        <f t="shared" si="0"/>
        <v>13.36117381489842</v>
      </c>
      <c r="W29" s="26" t="s">
        <v>25</v>
      </c>
      <c r="X29" s="15">
        <v>56</v>
      </c>
      <c r="Y29" s="15">
        <v>4.7450000000000001</v>
      </c>
      <c r="Z29" s="15">
        <v>81.36</v>
      </c>
      <c r="AA29" s="15">
        <v>476.17</v>
      </c>
      <c r="AB29" s="42">
        <f t="shared" si="1"/>
        <v>0.37291303526051617</v>
      </c>
    </row>
    <row r="30" spans="1:28" ht="15.75" customHeight="1">
      <c r="A30" s="8" t="s">
        <v>72</v>
      </c>
      <c r="C30" s="9">
        <v>185</v>
      </c>
      <c r="D30" s="7" t="s">
        <v>155</v>
      </c>
      <c r="E30" s="9" t="s">
        <v>24</v>
      </c>
      <c r="F30" s="9" t="s">
        <v>24</v>
      </c>
      <c r="G30" s="28" t="s">
        <v>25</v>
      </c>
      <c r="H30" s="36">
        <v>47</v>
      </c>
      <c r="I30" s="36">
        <v>4.8689999999999998</v>
      </c>
      <c r="J30" s="37">
        <v>83.33</v>
      </c>
      <c r="K30" s="19">
        <v>526.20000000000005</v>
      </c>
      <c r="L30" s="15" t="s">
        <v>25</v>
      </c>
      <c r="M30" s="15">
        <v>61</v>
      </c>
      <c r="N30" s="15">
        <v>4.8869999999999996</v>
      </c>
      <c r="O30" s="15">
        <v>89.39</v>
      </c>
      <c r="P30" s="15">
        <v>624.17999999999995</v>
      </c>
      <c r="Q30" s="15"/>
      <c r="R30" s="36">
        <v>11</v>
      </c>
      <c r="S30" s="36">
        <v>4.6369999999999996</v>
      </c>
      <c r="T30" s="37">
        <v>92.92</v>
      </c>
      <c r="U30" s="19">
        <v>109.98</v>
      </c>
      <c r="V30" s="42">
        <f t="shared" si="0"/>
        <v>4.7845062738679767</v>
      </c>
      <c r="W30" s="15" t="s">
        <v>25</v>
      </c>
      <c r="X30" s="15">
        <v>61</v>
      </c>
      <c r="Y30" s="15">
        <v>4.8869999999999996</v>
      </c>
      <c r="Z30" s="15">
        <v>89.39</v>
      </c>
      <c r="AA30" s="15">
        <v>624.17999999999995</v>
      </c>
      <c r="AB30" s="42">
        <f t="shared" si="1"/>
        <v>0.8430260501778335</v>
      </c>
    </row>
    <row r="31" spans="1:28" ht="15.75" customHeight="1">
      <c r="A31" s="8" t="s">
        <v>74</v>
      </c>
      <c r="B31" s="9" t="s">
        <v>156</v>
      </c>
      <c r="C31" s="9" t="s">
        <v>125</v>
      </c>
      <c r="D31" s="7" t="s">
        <v>157</v>
      </c>
      <c r="E31" s="9" t="s">
        <v>24</v>
      </c>
      <c r="F31" s="9" t="s">
        <v>24</v>
      </c>
      <c r="G31" s="28" t="s">
        <v>25</v>
      </c>
      <c r="H31" s="17">
        <v>5</v>
      </c>
      <c r="I31" s="17">
        <v>0.33</v>
      </c>
      <c r="J31" s="28">
        <v>33.840000000000003</v>
      </c>
      <c r="K31" s="28">
        <v>140.04</v>
      </c>
      <c r="L31" s="26" t="s">
        <v>25</v>
      </c>
      <c r="M31" s="15">
        <v>210</v>
      </c>
      <c r="N31" s="15">
        <v>4.9740000000000002</v>
      </c>
      <c r="O31" s="15">
        <v>89.5</v>
      </c>
      <c r="P31" s="15">
        <v>1842.45</v>
      </c>
      <c r="Q31" s="15"/>
      <c r="R31" s="17">
        <v>26</v>
      </c>
      <c r="S31" s="17">
        <v>4.282</v>
      </c>
      <c r="T31" s="28">
        <v>60.52</v>
      </c>
      <c r="U31" s="28">
        <v>392.85</v>
      </c>
      <c r="V31" s="42">
        <f t="shared" si="0"/>
        <v>0.35647193585337911</v>
      </c>
      <c r="W31" s="26" t="s">
        <v>25</v>
      </c>
      <c r="X31" s="15">
        <v>210</v>
      </c>
      <c r="Y31" s="15">
        <v>4.9740000000000002</v>
      </c>
      <c r="Z31" s="15">
        <v>89.5</v>
      </c>
      <c r="AA31" s="15">
        <v>1842.45</v>
      </c>
      <c r="AB31" s="42">
        <f t="shared" si="1"/>
        <v>7.6007490026866395E-2</v>
      </c>
    </row>
    <row r="32" spans="1:28" ht="15.75" customHeight="1">
      <c r="A32" s="8" t="s">
        <v>75</v>
      </c>
      <c r="B32" s="9" t="s">
        <v>156</v>
      </c>
      <c r="C32" s="9" t="s">
        <v>125</v>
      </c>
      <c r="D32" s="7" t="s">
        <v>158</v>
      </c>
      <c r="E32" s="9" t="s">
        <v>24</v>
      </c>
      <c r="F32" s="9" t="s">
        <v>24</v>
      </c>
      <c r="G32" s="17" t="s">
        <v>25</v>
      </c>
      <c r="H32" s="17">
        <v>51</v>
      </c>
      <c r="I32" s="17">
        <v>4.91</v>
      </c>
      <c r="J32" s="28">
        <v>91.75</v>
      </c>
      <c r="K32" s="28">
        <v>519.63</v>
      </c>
      <c r="L32" s="26" t="s">
        <v>25</v>
      </c>
      <c r="M32" s="15">
        <v>16</v>
      </c>
      <c r="N32" s="15">
        <v>2.004</v>
      </c>
      <c r="O32" s="15">
        <v>99.53</v>
      </c>
      <c r="P32" s="15">
        <v>147.38999999999999</v>
      </c>
      <c r="Q32" s="15"/>
      <c r="R32" s="20">
        <v>1</v>
      </c>
      <c r="S32" s="20">
        <v>1.083</v>
      </c>
      <c r="T32" s="38">
        <v>164.82</v>
      </c>
      <c r="U32" s="25">
        <v>17.98</v>
      </c>
      <c r="V32" s="42">
        <f t="shared" si="0"/>
        <v>28.900444938820911</v>
      </c>
      <c r="W32" s="26" t="s">
        <v>25</v>
      </c>
      <c r="X32" s="15">
        <v>16</v>
      </c>
      <c r="Y32" s="15">
        <v>2.004</v>
      </c>
      <c r="Z32" s="15">
        <v>99.53</v>
      </c>
      <c r="AA32" s="15">
        <v>147.38999999999999</v>
      </c>
      <c r="AB32" s="42">
        <f t="shared" si="1"/>
        <v>3.5255444738449015</v>
      </c>
    </row>
    <row r="33" spans="1:28" ht="15.75" customHeight="1">
      <c r="A33" s="44" t="s">
        <v>80</v>
      </c>
      <c r="B33" s="9" t="s">
        <v>159</v>
      </c>
      <c r="C33" s="9">
        <v>185</v>
      </c>
      <c r="D33" s="7" t="s">
        <v>160</v>
      </c>
      <c r="E33" s="9" t="s">
        <v>24</v>
      </c>
      <c r="F33" s="9" t="s">
        <v>24</v>
      </c>
      <c r="G33" s="24" t="s">
        <v>25</v>
      </c>
      <c r="H33" s="24">
        <v>1</v>
      </c>
      <c r="I33" s="24">
        <v>1.3149999999999999</v>
      </c>
      <c r="J33" s="25">
        <v>114.94</v>
      </c>
      <c r="K33" s="25">
        <v>41.51</v>
      </c>
      <c r="L33" s="15" t="s">
        <v>25</v>
      </c>
      <c r="M33" s="15"/>
      <c r="N33" s="15"/>
      <c r="O33" s="15"/>
      <c r="P33" s="15"/>
      <c r="Q33" s="15" t="s">
        <v>161</v>
      </c>
      <c r="R33" s="24">
        <v>1</v>
      </c>
      <c r="S33" s="24">
        <v>1.3149999999999999</v>
      </c>
      <c r="T33" s="25">
        <v>114.94</v>
      </c>
      <c r="U33" s="25">
        <v>41.51</v>
      </c>
      <c r="V33" s="47">
        <f t="shared" si="0"/>
        <v>1</v>
      </c>
      <c r="W33" s="15" t="s">
        <v>25</v>
      </c>
      <c r="X33" s="15"/>
      <c r="Y33" s="15"/>
      <c r="Z33" s="15"/>
      <c r="AA33" s="15"/>
      <c r="AB33" s="42"/>
    </row>
    <row r="34" spans="1:28" ht="15.75" customHeight="1">
      <c r="G34" s="17"/>
      <c r="H34" s="17"/>
      <c r="I34" s="17"/>
      <c r="J34" s="28"/>
      <c r="K34" s="28"/>
      <c r="L34" s="15"/>
      <c r="M34" s="15"/>
      <c r="N34" s="15"/>
      <c r="O34" s="15"/>
      <c r="P34" s="15"/>
      <c r="Q34" s="15"/>
      <c r="R34" s="17"/>
      <c r="S34" s="17"/>
      <c r="T34" s="28"/>
      <c r="U34" s="28"/>
      <c r="V34" s="42" t="e">
        <f t="shared" si="0"/>
        <v>#DIV/0!</v>
      </c>
      <c r="W34" s="15"/>
      <c r="X34" s="15"/>
      <c r="Y34" s="15"/>
      <c r="Z34" s="15"/>
      <c r="AA34" s="15"/>
      <c r="AB34" s="42"/>
    </row>
    <row r="35" spans="1:28" ht="15.75" customHeight="1">
      <c r="A35" s="11" t="s">
        <v>162</v>
      </c>
      <c r="C35" s="9">
        <v>185</v>
      </c>
      <c r="D35" s="7" t="s">
        <v>163</v>
      </c>
      <c r="G35" s="31" t="s">
        <v>148</v>
      </c>
      <c r="H35" s="31"/>
      <c r="I35" s="31"/>
      <c r="J35" s="32"/>
      <c r="K35" s="32"/>
      <c r="L35" s="15" t="s">
        <v>34</v>
      </c>
      <c r="M35" s="15">
        <v>4</v>
      </c>
      <c r="N35" s="15">
        <v>4.63</v>
      </c>
      <c r="O35" s="15">
        <v>99.44</v>
      </c>
      <c r="P35" s="15">
        <v>38.51</v>
      </c>
      <c r="Q35" s="15"/>
      <c r="R35" s="31"/>
      <c r="S35" s="31"/>
      <c r="T35" s="32"/>
      <c r="U35" s="32"/>
      <c r="V35" s="42" t="e">
        <f t="shared" si="0"/>
        <v>#DIV/0!</v>
      </c>
      <c r="W35" s="15" t="s">
        <v>34</v>
      </c>
      <c r="X35" s="15">
        <v>4</v>
      </c>
      <c r="Y35" s="15">
        <v>4.63</v>
      </c>
      <c r="Z35" s="15">
        <v>99.44</v>
      </c>
      <c r="AA35" s="15">
        <v>38.51</v>
      </c>
      <c r="AB35" s="42">
        <f t="shared" si="1"/>
        <v>0</v>
      </c>
    </row>
    <row r="36" spans="1:28" ht="15.75" customHeight="1">
      <c r="A36" s="11" t="s">
        <v>164</v>
      </c>
      <c r="C36" s="9">
        <v>185</v>
      </c>
      <c r="D36" s="7" t="s">
        <v>165</v>
      </c>
      <c r="G36" s="31" t="s">
        <v>148</v>
      </c>
      <c r="H36" s="31"/>
      <c r="I36" s="31"/>
      <c r="J36" s="32"/>
      <c r="K36" s="32"/>
      <c r="L36" s="15" t="s">
        <v>34</v>
      </c>
      <c r="M36" s="15">
        <v>1</v>
      </c>
      <c r="N36" s="15">
        <v>1.9810000000000001</v>
      </c>
      <c r="O36" s="15">
        <v>72.319999999999993</v>
      </c>
      <c r="P36" s="15">
        <v>13.49</v>
      </c>
      <c r="Q36" s="15"/>
      <c r="R36" s="31"/>
      <c r="S36" s="31"/>
      <c r="T36" s="32"/>
      <c r="U36" s="32"/>
      <c r="V36" s="42" t="e">
        <f t="shared" si="0"/>
        <v>#DIV/0!</v>
      </c>
      <c r="W36" s="15" t="s">
        <v>34</v>
      </c>
      <c r="X36" s="15">
        <v>1</v>
      </c>
      <c r="Y36" s="15">
        <v>1.9810000000000001</v>
      </c>
      <c r="Z36" s="15">
        <v>72.319999999999993</v>
      </c>
      <c r="AA36" s="15">
        <v>13.49</v>
      </c>
      <c r="AB36" s="42">
        <f t="shared" si="1"/>
        <v>0</v>
      </c>
    </row>
    <row r="37" spans="1:28" ht="48">
      <c r="A37" s="11" t="s">
        <v>166</v>
      </c>
      <c r="C37" s="9">
        <v>185</v>
      </c>
      <c r="D37" s="7" t="s">
        <v>167</v>
      </c>
      <c r="G37" s="31" t="s">
        <v>148</v>
      </c>
      <c r="H37" s="31"/>
      <c r="I37" s="31"/>
      <c r="J37" s="32"/>
      <c r="K37" s="32"/>
      <c r="L37" s="15" t="s">
        <v>34</v>
      </c>
      <c r="M37" s="15">
        <v>1</v>
      </c>
      <c r="N37" s="15">
        <v>1.9550000000000001</v>
      </c>
      <c r="O37" s="15">
        <v>74.69</v>
      </c>
      <c r="P37" s="15">
        <v>13.08</v>
      </c>
      <c r="Q37" s="15"/>
      <c r="R37" s="31"/>
      <c r="S37" s="31"/>
      <c r="T37" s="32"/>
      <c r="U37" s="32"/>
      <c r="V37" s="42" t="e">
        <f t="shared" si="0"/>
        <v>#DIV/0!</v>
      </c>
      <c r="W37" s="15" t="s">
        <v>34</v>
      </c>
      <c r="X37" s="15">
        <v>1</v>
      </c>
      <c r="Y37" s="15">
        <v>1.9550000000000001</v>
      </c>
      <c r="Z37" s="15">
        <v>74.69</v>
      </c>
      <c r="AA37" s="15">
        <v>13.08</v>
      </c>
      <c r="AB37" s="42">
        <f t="shared" si="1"/>
        <v>0</v>
      </c>
    </row>
    <row r="38" spans="1:28" ht="48">
      <c r="A38" s="11" t="s">
        <v>168</v>
      </c>
      <c r="C38" s="9">
        <v>185</v>
      </c>
      <c r="D38" s="7" t="s">
        <v>169</v>
      </c>
      <c r="G38" s="31" t="s">
        <v>148</v>
      </c>
      <c r="H38" s="31"/>
      <c r="I38" s="31"/>
      <c r="J38" s="32"/>
      <c r="K38" s="32"/>
      <c r="L38" s="15" t="s">
        <v>34</v>
      </c>
      <c r="M38" s="15">
        <v>4</v>
      </c>
      <c r="N38" s="15">
        <v>3.1970000000000001</v>
      </c>
      <c r="O38" s="15">
        <v>93.97</v>
      </c>
      <c r="P38" s="15">
        <v>41.23</v>
      </c>
      <c r="Q38" s="15"/>
      <c r="R38" s="31"/>
      <c r="S38" s="31"/>
      <c r="T38" s="32"/>
      <c r="U38" s="32"/>
      <c r="V38" s="42" t="e">
        <f t="shared" si="0"/>
        <v>#DIV/0!</v>
      </c>
      <c r="W38" s="15" t="s">
        <v>34</v>
      </c>
      <c r="X38" s="15">
        <v>4</v>
      </c>
      <c r="Y38" s="15">
        <v>3.1970000000000001</v>
      </c>
      <c r="Z38" s="15">
        <v>93.97</v>
      </c>
      <c r="AA38" s="15">
        <v>41.23</v>
      </c>
      <c r="AB38" s="42">
        <f t="shared" si="1"/>
        <v>0</v>
      </c>
    </row>
    <row r="39" spans="1:28" ht="32.1">
      <c r="A39" s="11" t="s">
        <v>170</v>
      </c>
      <c r="C39" s="9">
        <v>185</v>
      </c>
      <c r="D39" s="7" t="s">
        <v>171</v>
      </c>
      <c r="G39" s="31" t="s">
        <v>148</v>
      </c>
      <c r="H39" s="31"/>
      <c r="I39" s="31"/>
      <c r="J39" s="32"/>
      <c r="K39" s="32"/>
      <c r="L39" s="15" t="s">
        <v>25</v>
      </c>
      <c r="M39" s="15">
        <v>24</v>
      </c>
      <c r="N39" s="15">
        <v>4.7460000000000004</v>
      </c>
      <c r="O39" s="15">
        <v>99.65</v>
      </c>
      <c r="P39" s="15">
        <v>225.04</v>
      </c>
      <c r="Q39" s="15"/>
      <c r="R39" s="31"/>
      <c r="S39" s="31"/>
      <c r="T39" s="32"/>
      <c r="U39" s="32"/>
      <c r="V39" s="42" t="e">
        <f t="shared" si="0"/>
        <v>#DIV/0!</v>
      </c>
      <c r="W39" s="15" t="s">
        <v>25</v>
      </c>
      <c r="X39" s="15">
        <v>24</v>
      </c>
      <c r="Y39" s="15">
        <v>4.7460000000000004</v>
      </c>
      <c r="Z39" s="15">
        <v>99.65</v>
      </c>
      <c r="AA39" s="15">
        <v>225.04</v>
      </c>
      <c r="AB39" s="42">
        <f t="shared" si="1"/>
        <v>0</v>
      </c>
    </row>
    <row r="40" spans="1:28" ht="48">
      <c r="A40" s="11" t="s">
        <v>173</v>
      </c>
      <c r="C40" s="9">
        <v>185</v>
      </c>
      <c r="D40" s="7" t="s">
        <v>174</v>
      </c>
      <c r="G40" s="31" t="s">
        <v>148</v>
      </c>
      <c r="H40" s="31"/>
      <c r="I40" s="31"/>
      <c r="J40" s="32"/>
      <c r="K40" s="32"/>
      <c r="L40" s="15" t="s">
        <v>44</v>
      </c>
      <c r="M40" s="15">
        <v>31</v>
      </c>
      <c r="N40" s="15">
        <v>2.323</v>
      </c>
      <c r="O40" s="15">
        <v>95.57</v>
      </c>
      <c r="P40" s="15">
        <v>317.06</v>
      </c>
      <c r="Q40" s="15"/>
      <c r="R40" s="31"/>
      <c r="S40" s="31"/>
      <c r="T40" s="32"/>
      <c r="U40" s="32"/>
      <c r="V40" s="42" t="e">
        <f t="shared" si="0"/>
        <v>#DIV/0!</v>
      </c>
      <c r="W40" s="15" t="s">
        <v>44</v>
      </c>
      <c r="X40" s="15">
        <v>31</v>
      </c>
      <c r="Y40" s="15">
        <v>2.323</v>
      </c>
      <c r="Z40" s="15">
        <v>95.57</v>
      </c>
      <c r="AA40" s="15">
        <v>317.06</v>
      </c>
      <c r="AB40" s="42">
        <f t="shared" si="1"/>
        <v>0</v>
      </c>
    </row>
    <row r="41" spans="1:28" ht="48">
      <c r="A41" s="11" t="s">
        <v>175</v>
      </c>
      <c r="C41" s="9">
        <v>185</v>
      </c>
      <c r="D41" s="7" t="s">
        <v>176</v>
      </c>
      <c r="G41" s="31" t="s">
        <v>148</v>
      </c>
      <c r="H41" s="31"/>
      <c r="I41" s="31"/>
      <c r="J41" s="32"/>
      <c r="K41" s="32"/>
      <c r="L41" s="15" t="s">
        <v>44</v>
      </c>
      <c r="M41" s="15">
        <v>27</v>
      </c>
      <c r="N41" s="15">
        <v>4.2069999999999999</v>
      </c>
      <c r="O41" s="15">
        <v>98.32</v>
      </c>
      <c r="P41" s="15">
        <v>170.52</v>
      </c>
      <c r="Q41" s="15"/>
      <c r="R41" s="31"/>
      <c r="S41" s="31"/>
      <c r="T41" s="32"/>
      <c r="U41" s="32"/>
      <c r="V41" s="42" t="e">
        <f t="shared" si="0"/>
        <v>#DIV/0!</v>
      </c>
      <c r="W41" s="15" t="s">
        <v>44</v>
      </c>
      <c r="X41" s="15">
        <v>27</v>
      </c>
      <c r="Y41" s="15">
        <v>4.2069999999999999</v>
      </c>
      <c r="Z41" s="15">
        <v>98.32</v>
      </c>
      <c r="AA41" s="15">
        <v>170.52</v>
      </c>
      <c r="AB41" s="42">
        <f t="shared" si="1"/>
        <v>0</v>
      </c>
    </row>
    <row r="42" spans="1:28" ht="32.1">
      <c r="A42" s="11" t="s">
        <v>177</v>
      </c>
      <c r="C42" s="9">
        <v>185</v>
      </c>
      <c r="D42" s="7" t="s">
        <v>178</v>
      </c>
      <c r="G42" s="31" t="s">
        <v>148</v>
      </c>
      <c r="H42" s="31"/>
      <c r="I42" s="31"/>
      <c r="J42" s="32"/>
      <c r="K42" s="32"/>
      <c r="L42" s="15" t="s">
        <v>34</v>
      </c>
      <c r="M42" s="15">
        <v>2</v>
      </c>
      <c r="N42" s="15">
        <v>3.1040000000000001</v>
      </c>
      <c r="O42" s="15">
        <v>96.53</v>
      </c>
      <c r="P42" s="15">
        <v>20.11</v>
      </c>
      <c r="Q42" s="15"/>
      <c r="R42" s="31"/>
      <c r="S42" s="31"/>
      <c r="T42" s="32"/>
      <c r="U42" s="32"/>
      <c r="V42" s="42" t="e">
        <f t="shared" si="0"/>
        <v>#DIV/0!</v>
      </c>
      <c r="W42" s="15" t="s">
        <v>34</v>
      </c>
      <c r="X42" s="15">
        <v>2</v>
      </c>
      <c r="Y42" s="15">
        <v>3.1040000000000001</v>
      </c>
      <c r="Z42" s="15">
        <v>96.53</v>
      </c>
      <c r="AA42" s="15">
        <v>20.11</v>
      </c>
      <c r="AB42" s="42">
        <f t="shared" si="1"/>
        <v>0</v>
      </c>
    </row>
    <row r="43" spans="1:28" ht="15.75" customHeight="1">
      <c r="G43" s="17"/>
      <c r="H43" s="17"/>
      <c r="I43" s="17"/>
      <c r="J43" s="28"/>
      <c r="K43" s="28"/>
      <c r="L43" s="15"/>
      <c r="M43" s="15"/>
      <c r="N43" s="15"/>
      <c r="O43" s="15"/>
      <c r="P43" s="15"/>
      <c r="Q43" s="15"/>
      <c r="R43" s="17"/>
      <c r="S43" s="17"/>
      <c r="T43" s="28"/>
      <c r="U43" s="28"/>
      <c r="V43" s="42" t="e">
        <f t="shared" si="0"/>
        <v>#DIV/0!</v>
      </c>
      <c r="W43" s="15"/>
      <c r="X43" s="15"/>
      <c r="Y43" s="15"/>
      <c r="Z43" s="15"/>
      <c r="AA43" s="15"/>
      <c r="AB43" s="42"/>
    </row>
    <row r="44" spans="1:28" ht="63.95">
      <c r="A44" s="10" t="s">
        <v>84</v>
      </c>
      <c r="C44" s="9">
        <v>185</v>
      </c>
      <c r="D44" s="7" t="s">
        <v>179</v>
      </c>
      <c r="E44" s="9" t="s">
        <v>85</v>
      </c>
      <c r="F44" s="9" t="s">
        <v>24</v>
      </c>
      <c r="G44" s="17" t="s">
        <v>25</v>
      </c>
      <c r="H44" s="17">
        <v>71</v>
      </c>
      <c r="I44" s="17">
        <v>4.6980000000000004</v>
      </c>
      <c r="J44" s="28">
        <v>56.91</v>
      </c>
      <c r="K44" s="28">
        <v>1127.7</v>
      </c>
      <c r="L44" s="15" t="s">
        <v>25</v>
      </c>
      <c r="M44" s="15">
        <v>150</v>
      </c>
      <c r="N44" s="15">
        <v>4.9550000000000001</v>
      </c>
      <c r="O44" s="15">
        <v>91.15</v>
      </c>
      <c r="P44" s="15">
        <v>1463.69</v>
      </c>
      <c r="Q44" s="15"/>
      <c r="R44" s="17">
        <v>11</v>
      </c>
      <c r="S44" s="17">
        <v>3.3740000000000001</v>
      </c>
      <c r="T44" s="28">
        <v>55.59</v>
      </c>
      <c r="U44" s="28">
        <v>186.54</v>
      </c>
      <c r="V44" s="50">
        <f t="shared" si="0"/>
        <v>6.0453522032807978</v>
      </c>
      <c r="W44" s="15" t="s">
        <v>25</v>
      </c>
      <c r="X44" s="15">
        <v>150</v>
      </c>
      <c r="Y44" s="15">
        <v>4.9550000000000001</v>
      </c>
      <c r="Z44" s="15">
        <v>91.15</v>
      </c>
      <c r="AA44" s="15">
        <v>1463.69</v>
      </c>
      <c r="AB44" s="42">
        <f t="shared" si="1"/>
        <v>0.77045002698658871</v>
      </c>
    </row>
    <row r="45" spans="1:28" ht="63.95">
      <c r="A45" s="8" t="s">
        <v>86</v>
      </c>
      <c r="C45" s="9">
        <v>185</v>
      </c>
      <c r="D45" s="7" t="s">
        <v>181</v>
      </c>
      <c r="E45" s="9" t="s">
        <v>85</v>
      </c>
      <c r="F45" s="9" t="s">
        <v>24</v>
      </c>
      <c r="G45" s="17" t="s">
        <v>25</v>
      </c>
      <c r="H45" s="17">
        <v>191</v>
      </c>
      <c r="I45" s="17">
        <v>2.1459999999999999</v>
      </c>
      <c r="J45" s="28">
        <v>22.39</v>
      </c>
      <c r="K45" s="28">
        <v>7651.92</v>
      </c>
      <c r="L45" s="15" t="s">
        <v>25</v>
      </c>
      <c r="M45" s="15">
        <v>816</v>
      </c>
      <c r="N45" s="15">
        <v>4.6619999999999999</v>
      </c>
      <c r="O45" s="15">
        <v>98.94</v>
      </c>
      <c r="P45" s="15">
        <v>7352.74</v>
      </c>
      <c r="Q45" s="15"/>
      <c r="R45" s="17">
        <v>21</v>
      </c>
      <c r="S45" s="17">
        <v>0.876</v>
      </c>
      <c r="T45" s="28">
        <v>16.22</v>
      </c>
      <c r="U45" s="28">
        <v>1081.28</v>
      </c>
      <c r="V45" s="50">
        <f t="shared" si="0"/>
        <v>7.0767238828055641</v>
      </c>
      <c r="W45" s="15" t="s">
        <v>25</v>
      </c>
      <c r="X45" s="15">
        <v>816</v>
      </c>
      <c r="Y45" s="15">
        <v>4.6619999999999999</v>
      </c>
      <c r="Z45" s="15">
        <v>98.94</v>
      </c>
      <c r="AA45" s="15">
        <v>7352.74</v>
      </c>
      <c r="AB45" s="42">
        <f t="shared" si="1"/>
        <v>1.0406895932672717</v>
      </c>
    </row>
    <row r="46" spans="1:28" ht="48">
      <c r="A46" s="10" t="s">
        <v>87</v>
      </c>
      <c r="C46" s="9">
        <v>185</v>
      </c>
      <c r="D46" s="7" t="s">
        <v>183</v>
      </c>
      <c r="E46" s="9" t="s">
        <v>85</v>
      </c>
      <c r="F46" s="9" t="s">
        <v>24</v>
      </c>
      <c r="G46" s="17" t="s">
        <v>25</v>
      </c>
      <c r="H46" s="17">
        <v>121</v>
      </c>
      <c r="I46" s="17">
        <v>3.6070000000000002</v>
      </c>
      <c r="J46" s="28">
        <v>98.02</v>
      </c>
      <c r="K46" s="28">
        <v>1166.3699999999999</v>
      </c>
      <c r="L46" s="15" t="s">
        <v>25</v>
      </c>
      <c r="M46" s="15">
        <v>280</v>
      </c>
      <c r="N46" s="15">
        <v>3.9860000000000002</v>
      </c>
      <c r="O46" s="15">
        <v>99.8</v>
      </c>
      <c r="P46" s="15">
        <v>2409.3000000000002</v>
      </c>
      <c r="Q46" s="15"/>
      <c r="R46" s="17">
        <v>16</v>
      </c>
      <c r="S46" s="17">
        <v>1.8320000000000001</v>
      </c>
      <c r="T46" s="28">
        <v>71.36</v>
      </c>
      <c r="U46" s="28">
        <v>201.6</v>
      </c>
      <c r="V46" s="50">
        <f t="shared" si="0"/>
        <v>5.7855654761904756</v>
      </c>
      <c r="W46" s="15" t="s">
        <v>25</v>
      </c>
      <c r="X46" s="15">
        <v>280</v>
      </c>
      <c r="Y46" s="15">
        <v>3.9860000000000002</v>
      </c>
      <c r="Z46" s="15">
        <v>99.8</v>
      </c>
      <c r="AA46" s="15">
        <v>2409.3000000000002</v>
      </c>
      <c r="AB46" s="42">
        <f t="shared" si="1"/>
        <v>0.48411156767525831</v>
      </c>
    </row>
    <row r="47" spans="1:28" ht="63.95">
      <c r="A47" s="48" t="s">
        <v>88</v>
      </c>
      <c r="C47" s="9">
        <v>185</v>
      </c>
      <c r="D47" s="7" t="s">
        <v>185</v>
      </c>
      <c r="E47" s="9" t="s">
        <v>85</v>
      </c>
      <c r="F47" s="9" t="s">
        <v>24</v>
      </c>
      <c r="G47" s="182" t="s">
        <v>128</v>
      </c>
      <c r="H47" s="182">
        <v>1</v>
      </c>
      <c r="I47" s="182">
        <v>4.7729999999999997</v>
      </c>
      <c r="J47" s="183">
        <v>351.26</v>
      </c>
      <c r="K47" s="183">
        <v>5.64</v>
      </c>
      <c r="L47" s="23" t="s">
        <v>44</v>
      </c>
      <c r="M47" s="23">
        <v>1</v>
      </c>
      <c r="N47" s="23">
        <v>1.4850000000000001</v>
      </c>
      <c r="O47" s="23">
        <v>117.76</v>
      </c>
      <c r="P47" s="39">
        <v>8.4</v>
      </c>
      <c r="Q47" s="15"/>
      <c r="R47" s="121">
        <v>1</v>
      </c>
      <c r="S47" s="121">
        <v>4.7729999999999997</v>
      </c>
      <c r="T47" s="122">
        <v>351.26</v>
      </c>
      <c r="U47" s="122">
        <v>5.64</v>
      </c>
      <c r="V47" s="47">
        <f t="shared" si="0"/>
        <v>1</v>
      </c>
      <c r="W47" s="23" t="s">
        <v>44</v>
      </c>
      <c r="X47" s="23">
        <v>1</v>
      </c>
      <c r="Y47" s="23">
        <v>1.4850000000000001</v>
      </c>
      <c r="Z47" s="23">
        <v>117.76</v>
      </c>
      <c r="AA47" s="39">
        <v>8.4</v>
      </c>
      <c r="AB47" s="42">
        <f t="shared" si="1"/>
        <v>0.67142857142857137</v>
      </c>
    </row>
    <row r="48" spans="1:28" ht="48">
      <c r="A48" s="12" t="s">
        <v>219</v>
      </c>
      <c r="C48" s="9">
        <v>185</v>
      </c>
      <c r="D48" s="7" t="s">
        <v>188</v>
      </c>
      <c r="E48" s="9" t="s">
        <v>85</v>
      </c>
      <c r="F48" s="9" t="s">
        <v>24</v>
      </c>
      <c r="G48" s="31" t="s">
        <v>148</v>
      </c>
      <c r="H48" s="31"/>
      <c r="I48" s="31"/>
      <c r="J48" s="32"/>
      <c r="K48" s="32"/>
      <c r="L48" s="15" t="s">
        <v>34</v>
      </c>
      <c r="M48" s="15">
        <v>2</v>
      </c>
      <c r="N48" s="15">
        <v>1.75</v>
      </c>
      <c r="O48" s="15">
        <v>85.35</v>
      </c>
      <c r="P48" s="15">
        <v>22.99</v>
      </c>
      <c r="Q48" s="15"/>
      <c r="R48" s="31"/>
      <c r="S48" s="31"/>
      <c r="T48" s="32"/>
      <c r="U48" s="32"/>
      <c r="V48" s="42" t="e">
        <f t="shared" si="0"/>
        <v>#DIV/0!</v>
      </c>
      <c r="W48" s="15" t="s">
        <v>34</v>
      </c>
      <c r="X48" s="15">
        <v>2</v>
      </c>
      <c r="Y48" s="15">
        <v>1.75</v>
      </c>
      <c r="Z48" s="15">
        <v>85.35</v>
      </c>
      <c r="AA48" s="15">
        <v>22.99</v>
      </c>
      <c r="AB48" s="42"/>
    </row>
    <row r="49" spans="1:28" ht="48">
      <c r="A49" s="12" t="s">
        <v>220</v>
      </c>
      <c r="C49" s="9">
        <v>185</v>
      </c>
      <c r="D49" s="7" t="s">
        <v>190</v>
      </c>
      <c r="E49" s="9" t="s">
        <v>85</v>
      </c>
      <c r="F49" s="9" t="s">
        <v>24</v>
      </c>
      <c r="G49" s="31" t="s">
        <v>148</v>
      </c>
      <c r="H49" s="31"/>
      <c r="I49" s="31"/>
      <c r="J49" s="32"/>
      <c r="K49" s="32"/>
      <c r="L49" s="15" t="s">
        <v>34</v>
      </c>
      <c r="M49" s="15">
        <v>2</v>
      </c>
      <c r="N49" s="15">
        <v>1.772</v>
      </c>
      <c r="O49" s="15">
        <v>84.69</v>
      </c>
      <c r="P49" s="15">
        <v>23.16</v>
      </c>
      <c r="Q49" s="15"/>
      <c r="R49" s="31"/>
      <c r="S49" s="31"/>
      <c r="T49" s="32"/>
      <c r="U49" s="32"/>
      <c r="V49" s="42" t="e">
        <f t="shared" si="0"/>
        <v>#DIV/0!</v>
      </c>
      <c r="W49" s="15" t="s">
        <v>34</v>
      </c>
      <c r="X49" s="15">
        <v>2</v>
      </c>
      <c r="Y49" s="15">
        <v>1.772</v>
      </c>
      <c r="Z49" s="15">
        <v>84.69</v>
      </c>
      <c r="AA49" s="15">
        <v>23.16</v>
      </c>
      <c r="AB49" s="42"/>
    </row>
    <row r="50" spans="1:28" ht="32.1">
      <c r="A50" s="12" t="s">
        <v>191</v>
      </c>
      <c r="B50" s="9">
        <v>1</v>
      </c>
      <c r="C50" s="9">
        <v>185</v>
      </c>
      <c r="D50" s="7" t="s">
        <v>192</v>
      </c>
      <c r="E50" s="9" t="s">
        <v>85</v>
      </c>
      <c r="F50" s="9" t="s">
        <v>24</v>
      </c>
      <c r="G50" s="31" t="s">
        <v>148</v>
      </c>
      <c r="H50" s="31"/>
      <c r="I50" s="31"/>
      <c r="J50" s="32"/>
      <c r="K50" s="32"/>
      <c r="L50" s="15" t="s">
        <v>34</v>
      </c>
      <c r="M50" s="15">
        <v>4</v>
      </c>
      <c r="N50" s="15">
        <v>39.19</v>
      </c>
      <c r="O50" s="15">
        <v>2.1819999999999999</v>
      </c>
      <c r="P50" s="15">
        <v>100.02</v>
      </c>
      <c r="Q50" s="15"/>
      <c r="R50" s="31"/>
      <c r="S50" s="31"/>
      <c r="T50" s="32"/>
      <c r="U50" s="32"/>
      <c r="V50" s="42" t="e">
        <f t="shared" si="0"/>
        <v>#DIV/0!</v>
      </c>
      <c r="W50" s="15" t="s">
        <v>34</v>
      </c>
      <c r="X50" s="15">
        <v>4</v>
      </c>
      <c r="Y50" s="15">
        <v>39.19</v>
      </c>
      <c r="Z50" s="15">
        <v>2.1819999999999999</v>
      </c>
      <c r="AA50" s="15">
        <v>100.02</v>
      </c>
      <c r="AB50" s="42"/>
    </row>
    <row r="51" spans="1:28" ht="32.1">
      <c r="A51" s="12" t="s">
        <v>193</v>
      </c>
      <c r="B51" s="9">
        <v>1</v>
      </c>
      <c r="C51" s="9">
        <v>185</v>
      </c>
      <c r="D51" s="7" t="s">
        <v>194</v>
      </c>
      <c r="E51" s="9" t="s">
        <v>85</v>
      </c>
      <c r="F51" s="9" t="s">
        <v>24</v>
      </c>
      <c r="G51" s="31" t="s">
        <v>148</v>
      </c>
      <c r="H51" s="31"/>
      <c r="I51" s="31"/>
      <c r="J51" s="32"/>
      <c r="K51" s="32"/>
      <c r="L51" s="15" t="s">
        <v>34</v>
      </c>
      <c r="M51" s="15">
        <v>13</v>
      </c>
      <c r="N51" s="15">
        <v>3.97</v>
      </c>
      <c r="O51" s="15">
        <v>94.92</v>
      </c>
      <c r="P51" s="15">
        <v>131.69</v>
      </c>
      <c r="Q51" s="15"/>
      <c r="R51" s="31"/>
      <c r="S51" s="31"/>
      <c r="T51" s="32"/>
      <c r="U51" s="32"/>
      <c r="V51" s="42" t="e">
        <f t="shared" si="0"/>
        <v>#DIV/0!</v>
      </c>
      <c r="W51" s="15" t="s">
        <v>34</v>
      </c>
      <c r="X51" s="15">
        <v>13</v>
      </c>
      <c r="Y51" s="15">
        <v>3.97</v>
      </c>
      <c r="Z51" s="15">
        <v>94.92</v>
      </c>
      <c r="AA51" s="15">
        <v>131.69</v>
      </c>
      <c r="AB51" s="42"/>
    </row>
    <row r="52" spans="1:28" ht="48">
      <c r="A52" s="46" t="s">
        <v>89</v>
      </c>
      <c r="C52" s="9">
        <v>185</v>
      </c>
      <c r="D52" s="7" t="s">
        <v>196</v>
      </c>
      <c r="E52" s="9" t="s">
        <v>85</v>
      </c>
      <c r="F52" s="9" t="s">
        <v>24</v>
      </c>
      <c r="G52" s="17" t="s">
        <v>128</v>
      </c>
      <c r="H52" s="17">
        <v>1</v>
      </c>
      <c r="I52" s="17">
        <v>1.0369999999999999</v>
      </c>
      <c r="J52" s="28">
        <v>92.45</v>
      </c>
      <c r="K52" s="28">
        <v>10.74</v>
      </c>
      <c r="L52" s="15" t="s">
        <v>44</v>
      </c>
      <c r="M52" s="15">
        <v>13</v>
      </c>
      <c r="N52" s="15">
        <v>4.8600000000000003</v>
      </c>
      <c r="O52" s="15">
        <v>82.32</v>
      </c>
      <c r="P52" s="15">
        <v>149.44</v>
      </c>
      <c r="Q52" s="15"/>
      <c r="R52" s="24">
        <v>1</v>
      </c>
      <c r="S52" s="24">
        <v>2.4990000000000001</v>
      </c>
      <c r="T52" s="25">
        <v>182451.31</v>
      </c>
      <c r="U52" s="25">
        <v>5.55</v>
      </c>
      <c r="V52" s="47">
        <f t="shared" si="0"/>
        <v>1.9351351351351351</v>
      </c>
      <c r="W52" s="15" t="s">
        <v>44</v>
      </c>
      <c r="X52" s="15">
        <v>13</v>
      </c>
      <c r="Y52" s="15">
        <v>4.8600000000000003</v>
      </c>
      <c r="Z52" s="15">
        <v>82.32</v>
      </c>
      <c r="AA52" s="15">
        <v>149.44</v>
      </c>
      <c r="AB52" s="42">
        <f t="shared" si="1"/>
        <v>7.1868308351177732E-2</v>
      </c>
    </row>
    <row r="53" spans="1:28" ht="32.1">
      <c r="A53" s="12" t="s">
        <v>197</v>
      </c>
      <c r="C53" s="9">
        <v>185</v>
      </c>
      <c r="D53" s="7" t="s">
        <v>198</v>
      </c>
      <c r="E53" s="9" t="s">
        <v>85</v>
      </c>
      <c r="F53" s="9" t="s">
        <v>24</v>
      </c>
      <c r="G53" s="31" t="s">
        <v>148</v>
      </c>
      <c r="H53" s="31"/>
      <c r="I53" s="31"/>
      <c r="J53" s="32"/>
      <c r="K53" s="32"/>
      <c r="L53" s="15" t="s">
        <v>34</v>
      </c>
      <c r="M53" s="15">
        <v>7</v>
      </c>
      <c r="N53" s="15">
        <v>3.2170000000000001</v>
      </c>
      <c r="O53" s="15">
        <v>98.01</v>
      </c>
      <c r="P53" s="15">
        <v>69.260000000000005</v>
      </c>
      <c r="Q53" s="15"/>
      <c r="R53" s="31"/>
      <c r="S53" s="31"/>
      <c r="T53" s="32"/>
      <c r="U53" s="32"/>
      <c r="V53" s="42" t="e">
        <f t="shared" si="0"/>
        <v>#DIV/0!</v>
      </c>
      <c r="W53" s="15" t="s">
        <v>34</v>
      </c>
      <c r="X53" s="15">
        <v>7</v>
      </c>
      <c r="Y53" s="15">
        <v>3.2170000000000001</v>
      </c>
      <c r="Z53" s="15">
        <v>98.01</v>
      </c>
      <c r="AA53" s="15">
        <v>69.260000000000005</v>
      </c>
      <c r="AB53" s="42"/>
    </row>
    <row r="54" spans="1:28" ht="15.75" customHeight="1">
      <c r="G54" s="17"/>
      <c r="H54" s="34"/>
      <c r="I54" s="34"/>
      <c r="J54" s="35"/>
      <c r="K54" s="28"/>
      <c r="L54" s="15"/>
      <c r="M54" s="15"/>
      <c r="N54" s="15"/>
      <c r="O54" s="15"/>
      <c r="P54" s="15"/>
      <c r="Q54" s="15"/>
      <c r="R54" s="34"/>
      <c r="S54" s="34"/>
      <c r="T54" s="35"/>
      <c r="U54" s="28"/>
      <c r="V54" s="42" t="e">
        <f t="shared" si="0"/>
        <v>#DIV/0!</v>
      </c>
      <c r="W54" s="15"/>
      <c r="X54" s="15"/>
      <c r="Y54" s="15"/>
      <c r="Z54" s="15"/>
      <c r="AA54" s="15"/>
      <c r="AB54" s="42"/>
    </row>
    <row r="55" spans="1:28" ht="48">
      <c r="A55" s="11" t="s">
        <v>91</v>
      </c>
      <c r="C55" s="9">
        <v>185</v>
      </c>
      <c r="D55" s="7" t="s">
        <v>199</v>
      </c>
      <c r="E55" s="9" t="s">
        <v>92</v>
      </c>
      <c r="F55" s="9" t="s">
        <v>24</v>
      </c>
      <c r="G55" s="28" t="s">
        <v>25</v>
      </c>
      <c r="H55" s="18">
        <v>46</v>
      </c>
      <c r="I55" s="18">
        <v>4.508</v>
      </c>
      <c r="J55" s="19">
        <v>89.93</v>
      </c>
      <c r="K55" s="19">
        <v>475.47</v>
      </c>
      <c r="L55" s="15" t="s">
        <v>25</v>
      </c>
      <c r="M55" s="15">
        <v>68</v>
      </c>
      <c r="N55" s="15">
        <v>4.9989999999999997</v>
      </c>
      <c r="O55" s="15">
        <v>62.52</v>
      </c>
      <c r="P55" s="15">
        <v>932.95</v>
      </c>
      <c r="Q55" s="15" t="s">
        <v>140</v>
      </c>
      <c r="R55" s="18">
        <v>6</v>
      </c>
      <c r="S55" s="18">
        <v>3.1</v>
      </c>
      <c r="T55" s="19">
        <v>87.26</v>
      </c>
      <c r="U55" s="19">
        <v>66.44</v>
      </c>
      <c r="V55" s="47">
        <f t="shared" si="0"/>
        <v>7.1563816977724271</v>
      </c>
      <c r="W55" s="15" t="s">
        <v>25</v>
      </c>
      <c r="X55" s="15">
        <v>68</v>
      </c>
      <c r="Y55" s="15">
        <v>4.9989999999999997</v>
      </c>
      <c r="Z55" s="15">
        <v>62.52</v>
      </c>
      <c r="AA55" s="15">
        <v>932.95</v>
      </c>
      <c r="AB55" s="42">
        <f t="shared" si="1"/>
        <v>0.50964145988531007</v>
      </c>
    </row>
    <row r="56" spans="1:28" ht="48">
      <c r="A56" s="11" t="s">
        <v>93</v>
      </c>
      <c r="C56" s="9">
        <v>185</v>
      </c>
      <c r="D56" s="7" t="s">
        <v>200</v>
      </c>
      <c r="E56" s="9" t="s">
        <v>92</v>
      </c>
      <c r="F56" s="9" t="s">
        <v>24</v>
      </c>
      <c r="G56" s="28" t="s">
        <v>25</v>
      </c>
      <c r="H56" s="18">
        <v>336</v>
      </c>
      <c r="I56" s="17">
        <v>4.9790000000000001</v>
      </c>
      <c r="J56" s="19">
        <v>41.57</v>
      </c>
      <c r="K56" s="19">
        <v>7084.08</v>
      </c>
      <c r="L56" s="15" t="s">
        <v>25</v>
      </c>
      <c r="M56" s="15">
        <v>546</v>
      </c>
      <c r="N56" s="15">
        <v>4.9379999999999997</v>
      </c>
      <c r="O56" s="15">
        <v>72.599999999999994</v>
      </c>
      <c r="P56" s="15">
        <v>6233.22</v>
      </c>
      <c r="Q56" s="15" t="s">
        <v>140</v>
      </c>
      <c r="R56" s="18">
        <v>76</v>
      </c>
      <c r="S56" s="18">
        <v>1.331</v>
      </c>
      <c r="T56" s="19">
        <v>26.36</v>
      </c>
      <c r="U56" s="19">
        <v>2698.42</v>
      </c>
      <c r="V56" s="47">
        <f t="shared" si="0"/>
        <v>2.6252696022116644</v>
      </c>
      <c r="W56" s="15" t="s">
        <v>25</v>
      </c>
      <c r="X56" s="15">
        <v>546</v>
      </c>
      <c r="Y56" s="15">
        <v>4.9379999999999997</v>
      </c>
      <c r="Z56" s="15">
        <v>72.599999999999994</v>
      </c>
      <c r="AA56" s="15">
        <v>6233.22</v>
      </c>
      <c r="AB56" s="42">
        <f t="shared" si="1"/>
        <v>1.1365040861705507</v>
      </c>
    </row>
    <row r="57" spans="1:28" ht="48">
      <c r="A57" s="11" t="s">
        <v>94</v>
      </c>
      <c r="C57" s="9">
        <v>185</v>
      </c>
      <c r="D57" s="7" t="s">
        <v>201</v>
      </c>
      <c r="E57" s="9" t="s">
        <v>92</v>
      </c>
      <c r="F57" s="9" t="s">
        <v>24</v>
      </c>
      <c r="G57" s="28" t="s">
        <v>25</v>
      </c>
      <c r="H57" s="17">
        <v>91</v>
      </c>
      <c r="I57" s="17">
        <v>4.7080000000000002</v>
      </c>
      <c r="J57" s="28">
        <v>99.57</v>
      </c>
      <c r="K57" s="28">
        <v>854.53</v>
      </c>
      <c r="L57" s="15" t="s">
        <v>25</v>
      </c>
      <c r="M57" s="15">
        <v>186</v>
      </c>
      <c r="N57" s="15">
        <v>4.93</v>
      </c>
      <c r="O57" s="15">
        <v>77.48</v>
      </c>
      <c r="P57" s="15">
        <v>2074.77</v>
      </c>
      <c r="Q57" s="15" t="s">
        <v>140</v>
      </c>
      <c r="R57" s="24">
        <v>1</v>
      </c>
      <c r="S57" s="24">
        <v>0.373</v>
      </c>
      <c r="T57" s="25">
        <v>121.37</v>
      </c>
      <c r="U57" s="25">
        <v>34.14</v>
      </c>
      <c r="V57" s="47">
        <f t="shared" si="0"/>
        <v>25.030169888693614</v>
      </c>
      <c r="W57" s="15" t="s">
        <v>25</v>
      </c>
      <c r="X57" s="15">
        <v>186</v>
      </c>
      <c r="Y57" s="15">
        <v>4.93</v>
      </c>
      <c r="Z57" s="15">
        <v>77.48</v>
      </c>
      <c r="AA57" s="15">
        <v>2074.77</v>
      </c>
      <c r="AB57" s="42">
        <f t="shared" si="1"/>
        <v>0.41186733951233145</v>
      </c>
    </row>
    <row r="58" spans="1:28" ht="32.1">
      <c r="A58" s="13" t="s">
        <v>95</v>
      </c>
      <c r="C58" s="9">
        <v>185</v>
      </c>
      <c r="D58" s="7" t="s">
        <v>202</v>
      </c>
      <c r="E58" s="9" t="s">
        <v>92</v>
      </c>
      <c r="F58" s="9" t="s">
        <v>24</v>
      </c>
      <c r="G58" s="28" t="s">
        <v>128</v>
      </c>
      <c r="H58" s="17">
        <v>1</v>
      </c>
      <c r="I58" s="17">
        <v>3.9569999999999999</v>
      </c>
      <c r="J58" s="28">
        <v>263.33</v>
      </c>
      <c r="K58" s="28">
        <v>3.75</v>
      </c>
      <c r="L58" s="15" t="s">
        <v>44</v>
      </c>
      <c r="M58" s="15">
        <v>6</v>
      </c>
      <c r="N58" s="15">
        <v>4.8559999999999999</v>
      </c>
      <c r="O58" s="15">
        <v>66.569999999999993</v>
      </c>
      <c r="P58" s="15">
        <v>84.2</v>
      </c>
      <c r="Q58" s="15" t="s">
        <v>140</v>
      </c>
      <c r="R58" s="24"/>
      <c r="S58" s="24" t="s">
        <v>203</v>
      </c>
      <c r="T58" s="25"/>
      <c r="U58" s="25"/>
      <c r="V58" s="47" t="e">
        <f t="shared" si="0"/>
        <v>#DIV/0!</v>
      </c>
      <c r="W58" s="15" t="s">
        <v>44</v>
      </c>
      <c r="X58" s="15">
        <v>6</v>
      </c>
      <c r="Y58" s="15">
        <v>4.8559999999999999</v>
      </c>
      <c r="Z58" s="15">
        <v>66.569999999999993</v>
      </c>
      <c r="AA58" s="15">
        <v>84.2</v>
      </c>
      <c r="AB58" s="42">
        <f t="shared" si="1"/>
        <v>4.4536817102137763E-2</v>
      </c>
    </row>
    <row r="59" spans="1:28" ht="32.1">
      <c r="A59" s="11" t="s">
        <v>96</v>
      </c>
      <c r="C59" s="9">
        <v>185</v>
      </c>
      <c r="D59" s="7" t="s">
        <v>204</v>
      </c>
      <c r="E59" s="9" t="s">
        <v>92</v>
      </c>
      <c r="F59" s="9" t="s">
        <v>24</v>
      </c>
      <c r="G59" s="25" t="s">
        <v>25</v>
      </c>
      <c r="H59" s="24">
        <v>1</v>
      </c>
      <c r="I59" s="24">
        <v>1.43</v>
      </c>
      <c r="J59" s="25">
        <v>114.47</v>
      </c>
      <c r="K59" s="25">
        <v>8.64</v>
      </c>
      <c r="L59" s="15" t="s">
        <v>25</v>
      </c>
      <c r="M59" s="15">
        <v>32</v>
      </c>
      <c r="N59" s="15">
        <v>4.915</v>
      </c>
      <c r="O59" s="15">
        <v>77.760000000000005</v>
      </c>
      <c r="P59" s="15">
        <v>371.6</v>
      </c>
      <c r="Q59" s="15" t="s">
        <v>140</v>
      </c>
      <c r="R59" s="24">
        <v>1</v>
      </c>
      <c r="S59" s="24">
        <v>1.5269999999999999</v>
      </c>
      <c r="T59" s="25">
        <v>130.69</v>
      </c>
      <c r="U59" s="25">
        <v>15.15</v>
      </c>
      <c r="V59" s="47">
        <f t="shared" si="0"/>
        <v>0.57029702970297036</v>
      </c>
      <c r="W59" s="15" t="s">
        <v>25</v>
      </c>
      <c r="X59" s="15">
        <v>32</v>
      </c>
      <c r="Y59" s="15">
        <v>4.915</v>
      </c>
      <c r="Z59" s="15">
        <v>77.760000000000005</v>
      </c>
      <c r="AA59" s="15">
        <v>371.6</v>
      </c>
      <c r="AB59" s="42">
        <f t="shared" si="1"/>
        <v>2.3250807319698599E-2</v>
      </c>
    </row>
    <row r="60" spans="1:28" ht="15.95">
      <c r="A60" s="11" t="s">
        <v>205</v>
      </c>
      <c r="C60" s="9">
        <v>185</v>
      </c>
      <c r="D60" s="6" t="s">
        <v>206</v>
      </c>
      <c r="E60" s="9" t="s">
        <v>92</v>
      </c>
      <c r="F60" s="9" t="s">
        <v>24</v>
      </c>
      <c r="G60" s="32" t="s">
        <v>148</v>
      </c>
      <c r="H60" s="31"/>
      <c r="I60" s="31"/>
      <c r="J60" s="32"/>
      <c r="K60" s="32"/>
      <c r="L60" s="15" t="s">
        <v>44</v>
      </c>
      <c r="M60" s="15">
        <v>35</v>
      </c>
      <c r="N60" s="15">
        <v>4.9989999999999997</v>
      </c>
      <c r="O60" s="15">
        <v>69.37</v>
      </c>
      <c r="P60" s="15">
        <v>471.72</v>
      </c>
      <c r="Q60" s="15"/>
      <c r="R60" s="31"/>
      <c r="S60" s="31"/>
      <c r="T60" s="32"/>
      <c r="U60" s="32"/>
      <c r="V60" s="42" t="e">
        <f t="shared" si="0"/>
        <v>#DIV/0!</v>
      </c>
      <c r="W60" s="15" t="s">
        <v>44</v>
      </c>
      <c r="X60" s="15">
        <v>35</v>
      </c>
      <c r="Y60" s="15">
        <v>4.9989999999999997</v>
      </c>
      <c r="Z60" s="15">
        <v>69.37</v>
      </c>
      <c r="AA60" s="15">
        <v>471.72</v>
      </c>
      <c r="AB60" s="42"/>
    </row>
    <row r="61" spans="1:28" ht="15.95">
      <c r="A61" s="11" t="s">
        <v>207</v>
      </c>
      <c r="C61" s="9">
        <v>185</v>
      </c>
      <c r="D61" s="6" t="s">
        <v>208</v>
      </c>
      <c r="E61" s="9" t="s">
        <v>92</v>
      </c>
      <c r="F61" s="9" t="s">
        <v>24</v>
      </c>
      <c r="G61" s="32" t="s">
        <v>148</v>
      </c>
      <c r="H61" s="31"/>
      <c r="I61" s="31"/>
      <c r="J61" s="32"/>
      <c r="K61" s="32"/>
      <c r="L61" s="15" t="s">
        <v>44</v>
      </c>
      <c r="M61" s="15">
        <v>20</v>
      </c>
      <c r="N61" s="15">
        <v>4.8860000000000001</v>
      </c>
      <c r="O61" s="15">
        <v>93.44</v>
      </c>
      <c r="P61" s="15">
        <v>203.81</v>
      </c>
      <c r="Q61" s="15"/>
      <c r="R61" s="31"/>
      <c r="S61" s="31"/>
      <c r="T61" s="32"/>
      <c r="U61" s="32"/>
      <c r="V61" s="42" t="e">
        <f t="shared" si="0"/>
        <v>#DIV/0!</v>
      </c>
      <c r="W61" s="15" t="s">
        <v>44</v>
      </c>
      <c r="X61" s="15">
        <v>20</v>
      </c>
      <c r="Y61" s="15">
        <v>4.8860000000000001</v>
      </c>
      <c r="Z61" s="15">
        <v>93.44</v>
      </c>
      <c r="AA61" s="15">
        <v>203.81</v>
      </c>
      <c r="AB61" s="42"/>
    </row>
    <row r="62" spans="1:28" ht="48">
      <c r="A62" s="11" t="s">
        <v>97</v>
      </c>
      <c r="C62" s="9">
        <v>185</v>
      </c>
      <c r="D62" s="7" t="s">
        <v>209</v>
      </c>
      <c r="E62" s="9" t="s">
        <v>92</v>
      </c>
      <c r="F62" s="9" t="s">
        <v>24</v>
      </c>
      <c r="G62" s="28" t="s">
        <v>25</v>
      </c>
      <c r="H62" s="18">
        <v>46</v>
      </c>
      <c r="I62" s="18">
        <v>4.4589999999999996</v>
      </c>
      <c r="J62" s="19">
        <v>86.1</v>
      </c>
      <c r="K62" s="19">
        <v>493.34</v>
      </c>
      <c r="L62" s="15" t="s">
        <v>25</v>
      </c>
      <c r="M62" s="15">
        <v>66</v>
      </c>
      <c r="N62" s="15">
        <v>4.9400000000000004</v>
      </c>
      <c r="O62" s="15">
        <v>58.03</v>
      </c>
      <c r="P62" s="15">
        <v>977.72</v>
      </c>
      <c r="Q62" s="15" t="s">
        <v>140</v>
      </c>
      <c r="R62" s="18">
        <v>11</v>
      </c>
      <c r="S62" s="18">
        <v>3.972</v>
      </c>
      <c r="T62" s="19">
        <v>91.27</v>
      </c>
      <c r="U62" s="19">
        <v>112.27</v>
      </c>
      <c r="V62" s="47">
        <f t="shared" si="0"/>
        <v>4.3942281998753003</v>
      </c>
      <c r="W62" s="15" t="s">
        <v>25</v>
      </c>
      <c r="X62" s="15">
        <v>66</v>
      </c>
      <c r="Y62" s="15">
        <v>4.9400000000000004</v>
      </c>
      <c r="Z62" s="15">
        <v>58.03</v>
      </c>
      <c r="AA62" s="15">
        <v>977.72</v>
      </c>
      <c r="AB62" s="42">
        <f t="shared" si="1"/>
        <v>0.50458208894161927</v>
      </c>
    </row>
    <row r="65" spans="1:9" ht="15.75" customHeight="1">
      <c r="I65" s="9" t="s">
        <v>221</v>
      </c>
    </row>
    <row r="67" spans="1:9" ht="15.75" customHeight="1">
      <c r="A67" s="7" t="s">
        <v>210</v>
      </c>
    </row>
  </sheetData>
  <autoFilter ref="C4:L4" xr:uid="{14C8E652-0646-B046-B441-BC05036B1B5D}"/>
  <mergeCells count="7">
    <mergeCell ref="W3:Z3"/>
    <mergeCell ref="H1:K2"/>
    <mergeCell ref="L1:Q2"/>
    <mergeCell ref="A3:A4"/>
    <mergeCell ref="L3:O3"/>
    <mergeCell ref="R3:U3"/>
    <mergeCell ref="G3:K3"/>
  </mergeCells>
  <hyperlinks>
    <hyperlink ref="Q4" r:id="rId1" xr:uid="{B7954B98-910A-4641-9253-5652F8093C5B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5149-2EFE-40FB-9794-624AF1B78F35}">
  <dimension ref="A1:AI65"/>
  <sheetViews>
    <sheetView zoomScale="70" zoomScaleNormal="70" workbookViewId="0">
      <pane xSplit="1" topLeftCell="Y1" activePane="topRight" state="frozen"/>
      <selection pane="topRight" activeCell="AI10" sqref="AI10"/>
      <selection activeCell="A11" sqref="A11"/>
    </sheetView>
  </sheetViews>
  <sheetFormatPr defaultColWidth="11" defaultRowHeight="15.75" customHeight="1"/>
  <cols>
    <col min="1" max="1" width="37" style="7" customWidth="1"/>
    <col min="2" max="2" width="4.5" style="9" customWidth="1"/>
    <col min="3" max="3" width="9.875" style="9" customWidth="1"/>
    <col min="4" max="4" width="57.125" style="7" customWidth="1"/>
    <col min="5" max="5" width="13.625" style="9" customWidth="1"/>
    <col min="6" max="6" width="15.375" style="9" customWidth="1"/>
    <col min="7" max="7" width="13" style="9" customWidth="1"/>
    <col min="8" max="8" width="11.125" style="9" hidden="1" customWidth="1"/>
    <col min="9" max="9" width="23.375" style="9" hidden="1" customWidth="1"/>
    <col min="10" max="11" width="14.625" style="9" hidden="1" customWidth="1"/>
    <col min="12" max="12" width="11" style="9" hidden="1" customWidth="1"/>
    <col min="13" max="13" width="11.625" style="9" hidden="1" customWidth="1"/>
    <col min="14" max="15" width="11" style="9" hidden="1" customWidth="1"/>
    <col min="16" max="16" width="16.875" style="9" hidden="1" customWidth="1"/>
    <col min="17" max="17" width="38.125" style="9" hidden="1" customWidth="1"/>
    <col min="18" max="20" width="9" style="9" hidden="1" customWidth="1"/>
    <col min="21" max="21" width="16.125" style="9" hidden="1" customWidth="1"/>
    <col min="22" max="22" width="28.125" style="9" hidden="1" customWidth="1"/>
    <col min="23" max="27" width="9" style="9" bestFit="1" customWidth="1"/>
    <col min="28" max="28" width="23.625" style="9" bestFit="1" customWidth="1"/>
    <col min="29" max="29" width="11" style="9" bestFit="1" customWidth="1"/>
    <col min="30" max="30" width="11" style="9"/>
    <col min="31" max="34" width="11" style="9" bestFit="1" customWidth="1"/>
    <col min="35" max="16384" width="11" style="9"/>
  </cols>
  <sheetData>
    <row r="1" spans="1:35" ht="38.25" customHeight="1">
      <c r="A1" s="6" t="s">
        <v>103</v>
      </c>
      <c r="B1" s="14"/>
      <c r="E1" s="9" t="s">
        <v>104</v>
      </c>
      <c r="F1" s="9" t="s">
        <v>105</v>
      </c>
      <c r="G1" s="9" t="s">
        <v>106</v>
      </c>
      <c r="H1" s="257" t="s">
        <v>107</v>
      </c>
      <c r="I1" s="258"/>
      <c r="J1" s="258"/>
      <c r="K1" s="258"/>
      <c r="L1" s="257" t="s">
        <v>108</v>
      </c>
      <c r="M1" s="258"/>
      <c r="N1" s="258"/>
      <c r="O1" s="258"/>
      <c r="P1" s="258"/>
      <c r="Q1" s="258"/>
    </row>
    <row r="2" spans="1:35" ht="65.25" customHeight="1">
      <c r="H2" s="258"/>
      <c r="I2" s="258"/>
      <c r="J2" s="258"/>
      <c r="K2" s="258"/>
      <c r="L2" s="258"/>
      <c r="M2" s="258"/>
      <c r="N2" s="258"/>
      <c r="O2" s="258"/>
      <c r="P2" s="258"/>
      <c r="Q2" s="258"/>
    </row>
    <row r="3" spans="1:35" ht="15.75" customHeight="1">
      <c r="A3" s="264" t="s">
        <v>6</v>
      </c>
      <c r="B3" s="51"/>
      <c r="C3" s="51"/>
      <c r="D3" s="45"/>
      <c r="G3" s="259" t="s">
        <v>109</v>
      </c>
      <c r="H3" s="260"/>
      <c r="I3" s="260"/>
      <c r="J3" s="260"/>
      <c r="K3" s="261"/>
      <c r="L3" s="263" t="s">
        <v>110</v>
      </c>
      <c r="M3" s="263"/>
      <c r="N3" s="263"/>
      <c r="O3" s="263"/>
      <c r="P3" s="52"/>
      <c r="Q3" s="15"/>
      <c r="R3" s="259" t="s">
        <v>211</v>
      </c>
      <c r="S3" s="260"/>
      <c r="T3" s="260"/>
      <c r="U3" s="260"/>
      <c r="W3" s="263" t="s">
        <v>110</v>
      </c>
      <c r="X3" s="263"/>
      <c r="Y3" s="263"/>
      <c r="Z3" s="263"/>
      <c r="AA3" s="52"/>
      <c r="AD3" s="262" t="s">
        <v>222</v>
      </c>
      <c r="AE3" s="262"/>
      <c r="AF3" s="262"/>
      <c r="AG3" s="262"/>
    </row>
    <row r="4" spans="1:35" ht="15.75" customHeight="1">
      <c r="A4" s="264"/>
      <c r="B4" s="51"/>
      <c r="C4" s="14" t="s">
        <v>111</v>
      </c>
      <c r="D4" s="6" t="s">
        <v>112</v>
      </c>
      <c r="E4" s="51" t="s">
        <v>113</v>
      </c>
      <c r="F4" s="51" t="s">
        <v>9</v>
      </c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52" t="s">
        <v>10</v>
      </c>
      <c r="M4" s="52" t="s">
        <v>11</v>
      </c>
      <c r="N4" s="52" t="s">
        <v>12</v>
      </c>
      <c r="O4" s="52" t="s">
        <v>13</v>
      </c>
      <c r="P4" s="52" t="s">
        <v>114</v>
      </c>
      <c r="Q4" s="16" t="s">
        <v>115</v>
      </c>
      <c r="R4" s="2" t="s">
        <v>11</v>
      </c>
      <c r="S4" s="2" t="s">
        <v>12</v>
      </c>
      <c r="T4" s="3" t="s">
        <v>13</v>
      </c>
      <c r="U4" s="3" t="s">
        <v>114</v>
      </c>
      <c r="V4" s="3" t="s">
        <v>212</v>
      </c>
      <c r="W4" s="52" t="s">
        <v>10</v>
      </c>
      <c r="X4" s="52" t="s">
        <v>11</v>
      </c>
      <c r="Y4" s="52" t="s">
        <v>12</v>
      </c>
      <c r="Z4" s="52" t="s">
        <v>13</v>
      </c>
      <c r="AA4" s="52" t="s">
        <v>114</v>
      </c>
      <c r="AB4" s="9" t="s">
        <v>213</v>
      </c>
      <c r="AD4" s="56" t="s">
        <v>11</v>
      </c>
      <c r="AE4" s="56" t="s">
        <v>223</v>
      </c>
      <c r="AF4" s="56" t="s">
        <v>13</v>
      </c>
      <c r="AG4" s="56" t="s">
        <v>114</v>
      </c>
      <c r="AH4" s="9" t="s">
        <v>224</v>
      </c>
      <c r="AI4" s="9" t="s">
        <v>225</v>
      </c>
    </row>
    <row r="5" spans="1:35" ht="15.75" customHeight="1">
      <c r="A5" s="45"/>
      <c r="B5" s="51"/>
      <c r="E5" s="51" t="s">
        <v>116</v>
      </c>
      <c r="F5" s="51" t="s">
        <v>117</v>
      </c>
      <c r="G5" s="2"/>
      <c r="H5" s="2"/>
      <c r="I5" s="2"/>
      <c r="J5" s="3"/>
      <c r="K5" s="3"/>
      <c r="L5" s="15"/>
      <c r="M5" s="52"/>
      <c r="N5" s="52"/>
      <c r="O5" s="52"/>
      <c r="P5" s="52"/>
      <c r="Q5" s="15"/>
      <c r="R5" s="2"/>
      <c r="S5" s="2"/>
      <c r="T5" s="3"/>
      <c r="U5" s="3"/>
      <c r="W5" s="15"/>
      <c r="X5" s="52"/>
      <c r="Y5" s="52"/>
      <c r="Z5" s="52"/>
      <c r="AA5" s="52"/>
      <c r="AD5" s="57"/>
      <c r="AE5" s="57"/>
      <c r="AF5" s="57"/>
      <c r="AG5" s="57"/>
    </row>
    <row r="6" spans="1:35" ht="15.75" customHeight="1">
      <c r="A6" t="s">
        <v>22</v>
      </c>
      <c r="B6"/>
      <c r="C6" s="54">
        <v>185</v>
      </c>
      <c r="D6" t="s">
        <v>118</v>
      </c>
      <c r="E6" s="9" t="s">
        <v>24</v>
      </c>
      <c r="F6" s="9" t="s">
        <v>24</v>
      </c>
      <c r="G6" s="17" t="s">
        <v>25</v>
      </c>
      <c r="H6" s="18">
        <v>46</v>
      </c>
      <c r="I6" s="18">
        <v>4.7850000000000001</v>
      </c>
      <c r="J6" s="19">
        <v>86.03</v>
      </c>
      <c r="K6" s="19">
        <v>501.76</v>
      </c>
      <c r="L6" s="15" t="s">
        <v>25</v>
      </c>
      <c r="M6" s="15">
        <v>63</v>
      </c>
      <c r="N6" s="15">
        <v>4.9889999999999999</v>
      </c>
      <c r="O6" s="15">
        <v>95.25</v>
      </c>
      <c r="P6" s="15">
        <v>611.57000000000005</v>
      </c>
      <c r="Q6" s="15"/>
      <c r="R6" s="18">
        <v>11</v>
      </c>
      <c r="S6" s="18">
        <v>4.7469999999999999</v>
      </c>
      <c r="T6" s="19">
        <v>85.42</v>
      </c>
      <c r="U6" s="19">
        <v>119.54</v>
      </c>
      <c r="V6" s="42">
        <f t="shared" ref="V6:V33" si="0">K6/U6</f>
        <v>4.1974234565835697</v>
      </c>
      <c r="W6" s="15" t="s">
        <v>25</v>
      </c>
      <c r="X6" s="15">
        <v>63</v>
      </c>
      <c r="Y6" s="15">
        <v>4.9889999999999999</v>
      </c>
      <c r="Z6" s="15">
        <v>95.25</v>
      </c>
      <c r="AA6" s="15">
        <v>611.57000000000005</v>
      </c>
      <c r="AB6" s="42">
        <f>K6/AA6</f>
        <v>0.82044573801854237</v>
      </c>
      <c r="AD6" s="84">
        <v>63</v>
      </c>
      <c r="AE6" s="58">
        <v>4885.2299999999996</v>
      </c>
      <c r="AF6" s="58">
        <v>95.4</v>
      </c>
      <c r="AG6" s="58">
        <v>645.95000000000005</v>
      </c>
      <c r="AH6" s="42">
        <f>IFERROR(K6/AG6,NA())</f>
        <v>0.77677838842015634</v>
      </c>
      <c r="AI6" s="27" t="s">
        <v>226</v>
      </c>
    </row>
    <row r="7" spans="1:35" ht="15.75" customHeight="1">
      <c r="A7" t="s">
        <v>29</v>
      </c>
      <c r="B7"/>
      <c r="C7" s="54">
        <v>185</v>
      </c>
      <c r="D7" t="s">
        <v>119</v>
      </c>
      <c r="E7" s="9" t="s">
        <v>24</v>
      </c>
      <c r="F7" s="9" t="s">
        <v>24</v>
      </c>
      <c r="G7" s="17" t="s">
        <v>25</v>
      </c>
      <c r="H7" s="18">
        <v>536</v>
      </c>
      <c r="I7" s="18">
        <v>4.9390000000000001</v>
      </c>
      <c r="J7" s="19">
        <v>57.29</v>
      </c>
      <c r="K7" s="19">
        <v>8501.11</v>
      </c>
      <c r="L7" s="15" t="s">
        <v>25</v>
      </c>
      <c r="M7" s="15">
        <v>546</v>
      </c>
      <c r="N7" s="15">
        <v>4.9109999999999996</v>
      </c>
      <c r="O7" s="15">
        <v>80.2</v>
      </c>
      <c r="P7" s="15">
        <v>5932.79</v>
      </c>
      <c r="Q7" s="15"/>
      <c r="R7" s="18">
        <v>31</v>
      </c>
      <c r="S7" s="18">
        <v>1.8080000000000001</v>
      </c>
      <c r="T7" s="19">
        <v>27.97</v>
      </c>
      <c r="U7" s="19">
        <v>973.71</v>
      </c>
      <c r="V7" s="42">
        <f t="shared" si="0"/>
        <v>8.7306384857914576</v>
      </c>
      <c r="W7" s="15" t="s">
        <v>25</v>
      </c>
      <c r="X7" s="15">
        <v>546</v>
      </c>
      <c r="Y7" s="15">
        <v>4.9109999999999996</v>
      </c>
      <c r="Z7" s="15">
        <v>80.2</v>
      </c>
      <c r="AA7" s="15">
        <v>5932.79</v>
      </c>
      <c r="AB7" s="42">
        <f t="shared" ref="AB7:AB23" si="1">K7/AA7</f>
        <v>1.4329025635493589</v>
      </c>
      <c r="AD7" s="57">
        <v>555</v>
      </c>
      <c r="AE7" s="58">
        <v>4859.08</v>
      </c>
      <c r="AF7" s="58">
        <v>82.11</v>
      </c>
      <c r="AG7" s="58">
        <v>6048.39</v>
      </c>
      <c r="AH7" s="42">
        <f t="shared" ref="AH7:AH37" si="2">IFERROR(K7/AG7,NA())</f>
        <v>1.4055161786855677</v>
      </c>
    </row>
    <row r="8" spans="1:35" ht="15.75" customHeight="1">
      <c r="A8" t="s">
        <v>30</v>
      </c>
      <c r="B8"/>
      <c r="C8" s="54">
        <v>185</v>
      </c>
      <c r="D8" t="s">
        <v>120</v>
      </c>
      <c r="E8" s="9" t="s">
        <v>24</v>
      </c>
      <c r="F8" s="9" t="s">
        <v>24</v>
      </c>
      <c r="G8" s="17" t="s">
        <v>25</v>
      </c>
      <c r="H8" s="18">
        <v>96</v>
      </c>
      <c r="I8" s="18">
        <v>3.883</v>
      </c>
      <c r="J8" s="19">
        <v>98.55</v>
      </c>
      <c r="K8" s="19">
        <v>916.83</v>
      </c>
      <c r="L8" s="15" t="s">
        <v>25</v>
      </c>
      <c r="M8" s="15">
        <v>194</v>
      </c>
      <c r="N8" s="15">
        <v>4.9800000000000004</v>
      </c>
      <c r="O8" s="15">
        <v>90.76</v>
      </c>
      <c r="P8" s="15">
        <v>1897</v>
      </c>
      <c r="Q8" s="15"/>
      <c r="R8" s="18">
        <v>1</v>
      </c>
      <c r="S8" s="18">
        <v>0.38400000000000001</v>
      </c>
      <c r="T8" s="19">
        <v>73.42</v>
      </c>
      <c r="U8" s="19">
        <v>13.52</v>
      </c>
      <c r="V8" s="42">
        <f t="shared" si="0"/>
        <v>67.812869822485212</v>
      </c>
      <c r="W8" s="15" t="s">
        <v>25</v>
      </c>
      <c r="X8" s="15">
        <v>194</v>
      </c>
      <c r="Y8" s="15">
        <v>4.9800000000000004</v>
      </c>
      <c r="Z8" s="15">
        <v>90.76</v>
      </c>
      <c r="AA8" s="15">
        <v>1897</v>
      </c>
      <c r="AB8" s="42">
        <f t="shared" si="1"/>
        <v>0.48330521876647342</v>
      </c>
      <c r="AD8" s="84">
        <v>200</v>
      </c>
      <c r="AE8" s="58">
        <v>4937.9799999999996</v>
      </c>
      <c r="AF8" s="58">
        <v>94.13</v>
      </c>
      <c r="AG8" s="58">
        <v>1917.47</v>
      </c>
      <c r="AH8" s="42">
        <f>IFERROR(K8/AG8,NA())</f>
        <v>0.47814568154912462</v>
      </c>
      <c r="AI8" s="27" t="s">
        <v>226</v>
      </c>
    </row>
    <row r="9" spans="1:35" ht="15.75" customHeight="1">
      <c r="A9" t="s">
        <v>31</v>
      </c>
      <c r="B9"/>
      <c r="C9" s="54">
        <v>185</v>
      </c>
      <c r="D9" t="s">
        <v>121</v>
      </c>
      <c r="E9" s="9" t="s">
        <v>24</v>
      </c>
      <c r="F9" s="9" t="s">
        <v>24</v>
      </c>
      <c r="G9" s="20" t="s">
        <v>122</v>
      </c>
      <c r="H9" s="20">
        <v>1</v>
      </c>
      <c r="I9" s="21">
        <v>6.2409999999999997</v>
      </c>
      <c r="J9" s="21">
        <v>603.14</v>
      </c>
      <c r="K9" s="22">
        <v>1.64</v>
      </c>
      <c r="L9" s="23" t="s">
        <v>34</v>
      </c>
      <c r="M9" s="23">
        <v>1</v>
      </c>
      <c r="N9" s="23">
        <v>1.6579999999999999</v>
      </c>
      <c r="O9" s="23">
        <v>122.72</v>
      </c>
      <c r="P9" s="23">
        <v>8.0500000000000007</v>
      </c>
      <c r="Q9" s="15"/>
      <c r="R9" s="20">
        <v>1</v>
      </c>
      <c r="S9" s="21">
        <v>6.726</v>
      </c>
      <c r="T9" s="21">
        <v>604.42999999999995</v>
      </c>
      <c r="U9" s="22">
        <v>3.27</v>
      </c>
      <c r="V9" s="55">
        <f t="shared" si="0"/>
        <v>0.50152905198776754</v>
      </c>
      <c r="W9" s="23" t="s">
        <v>34</v>
      </c>
      <c r="X9" s="23">
        <v>1</v>
      </c>
      <c r="Y9" s="23">
        <v>1.6579999999999999</v>
      </c>
      <c r="Z9" s="23">
        <v>122.72</v>
      </c>
      <c r="AA9" s="23">
        <v>8.0500000000000007</v>
      </c>
      <c r="AB9" s="42">
        <f t="shared" si="1"/>
        <v>0.20372670807453414</v>
      </c>
      <c r="AD9" s="57">
        <v>1</v>
      </c>
      <c r="AE9" s="57">
        <v>1693.11</v>
      </c>
      <c r="AF9" s="58">
        <v>123.14</v>
      </c>
      <c r="AG9" s="58">
        <v>8.02</v>
      </c>
      <c r="AH9" s="42">
        <f t="shared" si="2"/>
        <v>0.20448877805486285</v>
      </c>
    </row>
    <row r="10" spans="1:35" ht="15.95">
      <c r="A10" t="s">
        <v>36</v>
      </c>
      <c r="B10">
        <v>1</v>
      </c>
      <c r="C10" s="54">
        <v>185</v>
      </c>
      <c r="D10" t="s">
        <v>123</v>
      </c>
      <c r="E10" s="9" t="s">
        <v>24</v>
      </c>
      <c r="F10" s="9" t="s">
        <v>24</v>
      </c>
      <c r="G10" s="24" t="s">
        <v>122</v>
      </c>
      <c r="H10" s="24">
        <v>1</v>
      </c>
      <c r="I10" s="24">
        <v>12.443</v>
      </c>
      <c r="J10" s="25">
        <v>2129.44</v>
      </c>
      <c r="K10" s="25">
        <v>0.47</v>
      </c>
      <c r="L10" s="24" t="s">
        <v>34</v>
      </c>
      <c r="M10" s="24">
        <v>2</v>
      </c>
      <c r="N10" s="24">
        <v>1.2949999999999999</v>
      </c>
      <c r="O10" s="24">
        <v>97.04</v>
      </c>
      <c r="P10" s="24">
        <v>20.36</v>
      </c>
      <c r="Q10" s="24"/>
      <c r="R10" s="24"/>
      <c r="S10" s="24" t="s">
        <v>124</v>
      </c>
      <c r="T10" s="25"/>
      <c r="U10" s="25"/>
      <c r="V10" s="42" t="e">
        <f t="shared" si="0"/>
        <v>#DIV/0!</v>
      </c>
      <c r="W10" s="15" t="s">
        <v>34</v>
      </c>
      <c r="X10" s="15">
        <v>2</v>
      </c>
      <c r="Y10" s="15">
        <v>1.2949999999999999</v>
      </c>
      <c r="Z10" s="15">
        <v>97.04</v>
      </c>
      <c r="AA10" s="15">
        <v>20.36</v>
      </c>
      <c r="AB10" s="42">
        <f t="shared" si="1"/>
        <v>2.3084479371316306E-2</v>
      </c>
      <c r="AD10" s="57" t="s">
        <v>227</v>
      </c>
      <c r="AE10" s="57"/>
      <c r="AF10" s="57"/>
      <c r="AG10" s="57"/>
      <c r="AH10" s="42" t="e">
        <f t="shared" si="2"/>
        <v>#N/A</v>
      </c>
    </row>
    <row r="11" spans="1:35" ht="30" customHeight="1">
      <c r="A11" t="s">
        <v>40</v>
      </c>
      <c r="B11">
        <v>1</v>
      </c>
      <c r="C11" s="54" t="s">
        <v>125</v>
      </c>
      <c r="D11" t="s">
        <v>126</v>
      </c>
      <c r="E11" s="9" t="s">
        <v>24</v>
      </c>
      <c r="F11" s="9" t="s">
        <v>24</v>
      </c>
      <c r="G11" s="24" t="s">
        <v>122</v>
      </c>
      <c r="H11" s="24">
        <v>1</v>
      </c>
      <c r="I11" s="24">
        <v>111.185</v>
      </c>
      <c r="J11" s="25">
        <v>1588.35</v>
      </c>
      <c r="K11" s="25">
        <v>0.63</v>
      </c>
      <c r="L11" s="24" t="s">
        <v>34</v>
      </c>
      <c r="M11" s="24">
        <v>8</v>
      </c>
      <c r="N11" s="24">
        <v>3.7770000000000001</v>
      </c>
      <c r="O11" s="24">
        <v>98.87</v>
      </c>
      <c r="P11" s="24">
        <v>78.069999999999993</v>
      </c>
      <c r="Q11" s="24"/>
      <c r="R11" s="24"/>
      <c r="S11" s="24" t="s">
        <v>124</v>
      </c>
      <c r="T11" s="25"/>
      <c r="U11" s="25"/>
      <c r="V11" s="42" t="e">
        <f t="shared" si="0"/>
        <v>#DIV/0!</v>
      </c>
      <c r="W11" s="26" t="s">
        <v>34</v>
      </c>
      <c r="X11" s="15">
        <v>8</v>
      </c>
      <c r="Y11" s="15">
        <v>3.7770000000000001</v>
      </c>
      <c r="Z11" s="15">
        <v>98.87</v>
      </c>
      <c r="AA11" s="15">
        <v>78.069999999999993</v>
      </c>
      <c r="AB11" s="42">
        <f t="shared" si="1"/>
        <v>8.069681055463046E-3</v>
      </c>
      <c r="AD11" s="57" t="s">
        <v>227</v>
      </c>
      <c r="AE11" s="57"/>
      <c r="AF11" s="57"/>
      <c r="AG11" s="57"/>
      <c r="AH11" s="42" t="e">
        <f t="shared" si="2"/>
        <v>#N/A</v>
      </c>
    </row>
    <row r="12" spans="1:35" ht="15.75" customHeight="1">
      <c r="A12" t="s">
        <v>42</v>
      </c>
      <c r="B12"/>
      <c r="C12" s="54" t="s">
        <v>125</v>
      </c>
      <c r="D12" t="s">
        <v>127</v>
      </c>
      <c r="E12" s="9" t="s">
        <v>24</v>
      </c>
      <c r="F12" s="9" t="s">
        <v>24</v>
      </c>
      <c r="G12" s="24" t="s">
        <v>128</v>
      </c>
      <c r="H12" s="24">
        <v>1</v>
      </c>
      <c r="I12" s="24">
        <v>3.17</v>
      </c>
      <c r="J12" s="25">
        <v>292.3</v>
      </c>
      <c r="K12" s="25">
        <v>3.39</v>
      </c>
      <c r="L12" s="26" t="s">
        <v>44</v>
      </c>
      <c r="M12" s="23">
        <v>1</v>
      </c>
      <c r="N12" s="23">
        <v>1.208</v>
      </c>
      <c r="O12" s="23">
        <v>103</v>
      </c>
      <c r="P12" s="23">
        <v>9.67</v>
      </c>
      <c r="Q12" s="15"/>
      <c r="R12" s="24">
        <v>1</v>
      </c>
      <c r="S12" s="24">
        <v>4.1349999999999998</v>
      </c>
      <c r="T12" s="25">
        <v>307441</v>
      </c>
      <c r="U12" s="25">
        <v>3.29</v>
      </c>
      <c r="V12" s="42">
        <f t="shared" si="0"/>
        <v>1.0303951367781155</v>
      </c>
      <c r="W12" s="26" t="s">
        <v>44</v>
      </c>
      <c r="X12" s="23">
        <v>1</v>
      </c>
      <c r="Y12" s="23">
        <v>1.208</v>
      </c>
      <c r="Z12" s="23">
        <v>103</v>
      </c>
      <c r="AA12" s="23">
        <v>9.67</v>
      </c>
      <c r="AB12" s="42">
        <f>K12/AA12</f>
        <v>0.35056876938986559</v>
      </c>
      <c r="AD12" s="57">
        <v>1</v>
      </c>
      <c r="AE12" s="57">
        <v>1171.8699999999999</v>
      </c>
      <c r="AF12" s="57">
        <v>102.5</v>
      </c>
      <c r="AG12" s="57">
        <v>9.66</v>
      </c>
      <c r="AH12" s="42">
        <f t="shared" si="2"/>
        <v>0.35093167701863354</v>
      </c>
    </row>
    <row r="13" spans="1:35" ht="15.75" customHeight="1">
      <c r="A13" t="s">
        <v>46</v>
      </c>
      <c r="B13"/>
      <c r="C13" s="54" t="s">
        <v>125</v>
      </c>
      <c r="D13" t="s">
        <v>130</v>
      </c>
      <c r="E13" s="9" t="s">
        <v>24</v>
      </c>
      <c r="F13" s="9" t="s">
        <v>24</v>
      </c>
      <c r="G13" s="24" t="s">
        <v>122</v>
      </c>
      <c r="H13" s="24">
        <v>1</v>
      </c>
      <c r="I13" s="24">
        <v>3.3690000000000002</v>
      </c>
      <c r="J13" s="25">
        <v>248.89</v>
      </c>
      <c r="K13" s="25">
        <v>3.97</v>
      </c>
      <c r="L13" s="26" t="s">
        <v>34</v>
      </c>
      <c r="M13" s="15">
        <v>2</v>
      </c>
      <c r="N13" s="15">
        <v>1.6160000000000001</v>
      </c>
      <c r="O13" s="15">
        <v>84.01</v>
      </c>
      <c r="P13" s="15">
        <v>23.39</v>
      </c>
      <c r="Q13" s="15"/>
      <c r="R13" s="24">
        <v>1</v>
      </c>
      <c r="S13" s="24">
        <v>3.5310000000000001</v>
      </c>
      <c r="T13" s="25">
        <v>247.66</v>
      </c>
      <c r="U13" s="25">
        <v>7.98</v>
      </c>
      <c r="V13" s="55">
        <f t="shared" si="0"/>
        <v>0.4974937343358396</v>
      </c>
      <c r="W13" s="26" t="s">
        <v>34</v>
      </c>
      <c r="X13" s="15">
        <v>2</v>
      </c>
      <c r="Y13" s="15">
        <v>1.6160000000000001</v>
      </c>
      <c r="Z13" s="15">
        <v>84.01</v>
      </c>
      <c r="AA13" s="15">
        <v>23.39</v>
      </c>
      <c r="AB13" s="42">
        <f t="shared" si="1"/>
        <v>0.16973065412569474</v>
      </c>
      <c r="AD13" s="57">
        <v>2</v>
      </c>
      <c r="AE13" s="57">
        <v>1752.57</v>
      </c>
      <c r="AF13" s="57">
        <v>83.59</v>
      </c>
      <c r="AG13" s="57">
        <v>23.46</v>
      </c>
      <c r="AH13" s="42">
        <f t="shared" si="2"/>
        <v>0.16922421142369992</v>
      </c>
    </row>
    <row r="14" spans="1:35" ht="15.75" customHeight="1">
      <c r="A14" t="s">
        <v>47</v>
      </c>
      <c r="B14"/>
      <c r="C14" s="54">
        <v>185</v>
      </c>
      <c r="D14" t="s">
        <v>132</v>
      </c>
      <c r="E14" s="9" t="s">
        <v>24</v>
      </c>
      <c r="F14" s="9" t="s">
        <v>24</v>
      </c>
      <c r="G14" s="24" t="s">
        <v>128</v>
      </c>
      <c r="H14" s="24"/>
      <c r="I14" s="24" t="s">
        <v>49</v>
      </c>
      <c r="J14" s="25"/>
      <c r="K14" s="25"/>
      <c r="L14" s="15" t="s">
        <v>44</v>
      </c>
      <c r="M14" s="15">
        <v>8</v>
      </c>
      <c r="N14" s="15">
        <v>4.8209999999999997</v>
      </c>
      <c r="O14" s="15">
        <v>59.2</v>
      </c>
      <c r="P14" s="15">
        <v>125.27</v>
      </c>
      <c r="Q14" s="15"/>
      <c r="R14" s="24"/>
      <c r="S14" s="24" t="s">
        <v>49</v>
      </c>
      <c r="T14" s="25"/>
      <c r="U14" s="25"/>
      <c r="V14" s="42" t="e">
        <f t="shared" si="0"/>
        <v>#DIV/0!</v>
      </c>
      <c r="W14" s="15" t="s">
        <v>44</v>
      </c>
      <c r="X14" s="15">
        <v>8</v>
      </c>
      <c r="Y14" s="15">
        <v>4.8209999999999997</v>
      </c>
      <c r="Z14" s="15">
        <v>59.2</v>
      </c>
      <c r="AA14" s="15">
        <v>125.27</v>
      </c>
      <c r="AB14" s="42">
        <f t="shared" si="1"/>
        <v>0</v>
      </c>
      <c r="AD14" s="57" t="s">
        <v>228</v>
      </c>
      <c r="AE14" s="57"/>
      <c r="AF14" s="57"/>
      <c r="AG14" s="57"/>
      <c r="AH14" s="42" t="e">
        <f t="shared" si="2"/>
        <v>#N/A</v>
      </c>
    </row>
    <row r="15" spans="1:35" ht="15.75" customHeight="1">
      <c r="A15" t="s">
        <v>51</v>
      </c>
      <c r="B15"/>
      <c r="C15" s="54">
        <v>185</v>
      </c>
      <c r="D15" t="s">
        <v>133</v>
      </c>
      <c r="E15" s="9" t="s">
        <v>24</v>
      </c>
      <c r="F15" s="9" t="s">
        <v>24</v>
      </c>
      <c r="G15" s="17" t="s">
        <v>25</v>
      </c>
      <c r="H15" s="17">
        <v>136</v>
      </c>
      <c r="I15" s="17">
        <v>3.6230000000000002</v>
      </c>
      <c r="J15" s="28">
        <v>99.5</v>
      </c>
      <c r="K15" s="28">
        <v>1318.21</v>
      </c>
      <c r="L15" s="15" t="s">
        <v>25</v>
      </c>
      <c r="M15" s="15">
        <v>640</v>
      </c>
      <c r="N15" s="29">
        <v>3.4249999999999998</v>
      </c>
      <c r="O15" s="29">
        <v>99.81</v>
      </c>
      <c r="P15" s="29">
        <v>5575.87</v>
      </c>
      <c r="Q15" s="15"/>
      <c r="R15" s="17">
        <v>26</v>
      </c>
      <c r="S15" s="17">
        <v>0.74</v>
      </c>
      <c r="T15" s="28">
        <v>29.51</v>
      </c>
      <c r="U15" s="28">
        <v>758.29</v>
      </c>
      <c r="V15" s="55">
        <f t="shared" si="0"/>
        <v>1.7383982381410807</v>
      </c>
      <c r="W15" s="15" t="s">
        <v>25</v>
      </c>
      <c r="X15" s="15">
        <v>640</v>
      </c>
      <c r="Y15" s="29">
        <v>3.4249999999999998</v>
      </c>
      <c r="Z15" s="29">
        <v>99.81</v>
      </c>
      <c r="AA15" s="29">
        <v>5575.87</v>
      </c>
      <c r="AB15" s="42">
        <f t="shared" si="1"/>
        <v>0.2364133310138149</v>
      </c>
      <c r="AD15" s="57" t="s">
        <v>229</v>
      </c>
      <c r="AE15" s="57"/>
      <c r="AF15" s="57"/>
      <c r="AG15" s="57"/>
      <c r="AH15" s="42" t="e">
        <f t="shared" si="2"/>
        <v>#N/A</v>
      </c>
    </row>
    <row r="16" spans="1:35" ht="15.75" customHeight="1">
      <c r="A16" t="s">
        <v>52</v>
      </c>
      <c r="B16"/>
      <c r="C16" s="54" t="s">
        <v>125</v>
      </c>
      <c r="D16" t="s">
        <v>134</v>
      </c>
      <c r="E16" s="9" t="s">
        <v>24</v>
      </c>
      <c r="F16" s="9" t="s">
        <v>24</v>
      </c>
      <c r="G16" s="17" t="s">
        <v>25</v>
      </c>
      <c r="H16" s="17">
        <v>16</v>
      </c>
      <c r="I16" s="17">
        <v>4.548</v>
      </c>
      <c r="J16" s="28">
        <v>53.34</v>
      </c>
      <c r="K16" s="28">
        <v>277.14</v>
      </c>
      <c r="L16" s="26" t="s">
        <v>25</v>
      </c>
      <c r="M16" s="15">
        <v>152</v>
      </c>
      <c r="N16" s="15">
        <v>4.9870000000000001</v>
      </c>
      <c r="O16" s="15">
        <v>84.07</v>
      </c>
      <c r="P16" s="15">
        <v>1600.89</v>
      </c>
      <c r="Q16" s="15"/>
      <c r="R16" s="17">
        <v>21</v>
      </c>
      <c r="S16" s="17">
        <v>4.3019999999999996</v>
      </c>
      <c r="T16" s="28">
        <v>71.06</v>
      </c>
      <c r="U16" s="28">
        <v>278.36</v>
      </c>
      <c r="V16" s="42">
        <f t="shared" si="0"/>
        <v>0.99561718637735297</v>
      </c>
      <c r="W16" s="26" t="s">
        <v>25</v>
      </c>
      <c r="X16" s="15">
        <v>152</v>
      </c>
      <c r="Y16" s="15">
        <v>4.9870000000000001</v>
      </c>
      <c r="Z16" s="15">
        <v>84.07</v>
      </c>
      <c r="AA16" s="15">
        <v>1600.89</v>
      </c>
      <c r="AB16" s="42">
        <f t="shared" si="1"/>
        <v>0.17311620411146297</v>
      </c>
      <c r="AD16" s="57" t="s">
        <v>230</v>
      </c>
      <c r="AE16" s="57"/>
      <c r="AF16" s="57"/>
      <c r="AG16" s="57"/>
      <c r="AH16" s="42" t="e">
        <f t="shared" si="2"/>
        <v>#N/A</v>
      </c>
    </row>
    <row r="17" spans="1:35" ht="15.75" customHeight="1">
      <c r="A17" t="s">
        <v>54</v>
      </c>
      <c r="B17"/>
      <c r="C17" s="54">
        <v>185</v>
      </c>
      <c r="D17" t="s">
        <v>135</v>
      </c>
      <c r="E17" s="9" t="s">
        <v>24</v>
      </c>
      <c r="F17" s="9" t="s">
        <v>24</v>
      </c>
      <c r="G17" s="24" t="s">
        <v>128</v>
      </c>
      <c r="H17" s="24">
        <v>1</v>
      </c>
      <c r="I17" s="24">
        <v>8.4559999999999995</v>
      </c>
      <c r="J17" s="25">
        <v>1122.23</v>
      </c>
      <c r="K17" s="25">
        <v>0.89</v>
      </c>
      <c r="L17" s="15" t="s">
        <v>44</v>
      </c>
      <c r="M17" s="15">
        <v>22</v>
      </c>
      <c r="N17" s="15">
        <v>1.806</v>
      </c>
      <c r="O17" s="15">
        <v>99.77</v>
      </c>
      <c r="P17" s="15">
        <v>210.46</v>
      </c>
      <c r="Q17" s="15" t="s">
        <v>136</v>
      </c>
      <c r="R17" s="24">
        <v>1</v>
      </c>
      <c r="S17" s="24">
        <v>1.4550000000000001</v>
      </c>
      <c r="T17" s="25">
        <v>130.31</v>
      </c>
      <c r="U17" s="25">
        <v>15.2</v>
      </c>
      <c r="V17" s="55">
        <f t="shared" si="0"/>
        <v>5.855263157894737E-2</v>
      </c>
      <c r="W17" s="15" t="s">
        <v>44</v>
      </c>
      <c r="X17" s="15">
        <v>22</v>
      </c>
      <c r="Y17" s="15">
        <v>1.806</v>
      </c>
      <c r="Z17" s="15">
        <v>99.77</v>
      </c>
      <c r="AA17" s="15">
        <v>210.46</v>
      </c>
      <c r="AB17" s="42">
        <f t="shared" si="1"/>
        <v>4.228832082105863E-3</v>
      </c>
      <c r="AD17" s="57" t="s">
        <v>231</v>
      </c>
      <c r="AE17" s="57"/>
      <c r="AF17" s="57"/>
      <c r="AG17" s="57"/>
      <c r="AH17" s="42" t="e">
        <f t="shared" si="2"/>
        <v>#N/A</v>
      </c>
    </row>
    <row r="18" spans="1:35" ht="15.75" customHeight="1">
      <c r="A18" t="s">
        <v>57</v>
      </c>
      <c r="B18"/>
      <c r="C18" s="54" t="s">
        <v>125</v>
      </c>
      <c r="D18" t="s">
        <v>138</v>
      </c>
      <c r="E18" s="9" t="s">
        <v>24</v>
      </c>
      <c r="F18" s="9" t="s">
        <v>24</v>
      </c>
      <c r="G18" s="17" t="s">
        <v>25</v>
      </c>
      <c r="H18" s="17">
        <v>16</v>
      </c>
      <c r="I18" s="17">
        <v>1.833</v>
      </c>
      <c r="J18" s="28">
        <v>98.61</v>
      </c>
      <c r="K18" s="28">
        <v>156.93</v>
      </c>
      <c r="L18" s="26" t="s">
        <v>25</v>
      </c>
      <c r="M18" s="15">
        <v>14</v>
      </c>
      <c r="N18" s="15">
        <v>1.66</v>
      </c>
      <c r="O18" s="15">
        <v>96.69</v>
      </c>
      <c r="P18" s="15">
        <v>131.36000000000001</v>
      </c>
      <c r="Q18" s="15"/>
      <c r="R18" s="17">
        <v>1</v>
      </c>
      <c r="S18" s="17">
        <v>1.056</v>
      </c>
      <c r="T18" s="28">
        <v>93.69</v>
      </c>
      <c r="U18" s="28">
        <v>10.98</v>
      </c>
      <c r="V18" s="42">
        <f t="shared" si="0"/>
        <v>14.292349726775956</v>
      </c>
      <c r="W18" s="26" t="s">
        <v>25</v>
      </c>
      <c r="X18" s="15">
        <v>14</v>
      </c>
      <c r="Y18" s="15">
        <v>1.66</v>
      </c>
      <c r="Z18" s="15">
        <v>96.69</v>
      </c>
      <c r="AA18" s="15">
        <v>131.36000000000001</v>
      </c>
      <c r="AB18" s="42">
        <f t="shared" si="1"/>
        <v>1.1946559074299634</v>
      </c>
      <c r="AD18" s="84">
        <v>73</v>
      </c>
      <c r="AE18" s="58">
        <v>2721.22</v>
      </c>
      <c r="AF18" s="84">
        <v>98.65</v>
      </c>
      <c r="AG18" s="84">
        <v>686.11</v>
      </c>
      <c r="AH18" s="42">
        <f t="shared" si="2"/>
        <v>0.22872425704333124</v>
      </c>
      <c r="AI18" s="27" t="s">
        <v>232</v>
      </c>
    </row>
    <row r="19" spans="1:35" ht="15.75" customHeight="1">
      <c r="A19" t="s">
        <v>58</v>
      </c>
      <c r="B19"/>
      <c r="C19" s="54">
        <v>185</v>
      </c>
      <c r="D19" t="s">
        <v>139</v>
      </c>
      <c r="E19" s="9" t="s">
        <v>24</v>
      </c>
      <c r="F19" s="9" t="s">
        <v>24</v>
      </c>
      <c r="G19" s="24" t="s">
        <v>128</v>
      </c>
      <c r="H19" s="24">
        <v>1</v>
      </c>
      <c r="I19" s="24">
        <v>1.4179999999999999</v>
      </c>
      <c r="J19" s="25">
        <v>129.6</v>
      </c>
      <c r="K19" s="25">
        <v>7.64</v>
      </c>
      <c r="L19" s="15" t="s">
        <v>44</v>
      </c>
      <c r="M19" s="15">
        <v>16</v>
      </c>
      <c r="N19" s="15">
        <v>4.7889999999999997</v>
      </c>
      <c r="O19" s="15">
        <v>75.180000000000007</v>
      </c>
      <c r="P19" s="15">
        <v>200.5</v>
      </c>
      <c r="Q19" s="15" t="s">
        <v>140</v>
      </c>
      <c r="R19" s="24">
        <v>1</v>
      </c>
      <c r="S19" s="24">
        <v>1.762</v>
      </c>
      <c r="T19" s="25">
        <v>207.64</v>
      </c>
      <c r="U19" s="25">
        <v>11.92</v>
      </c>
      <c r="V19" s="55">
        <f t="shared" si="0"/>
        <v>0.64093959731543626</v>
      </c>
      <c r="W19" s="15" t="s">
        <v>44</v>
      </c>
      <c r="X19" s="15">
        <v>16</v>
      </c>
      <c r="Y19" s="15">
        <v>4.7889999999999997</v>
      </c>
      <c r="Z19" s="15">
        <v>75.180000000000007</v>
      </c>
      <c r="AA19" s="15">
        <v>200.5</v>
      </c>
      <c r="AB19" s="42">
        <f t="shared" si="1"/>
        <v>3.8104738154613467E-2</v>
      </c>
      <c r="AD19" s="57">
        <v>15</v>
      </c>
      <c r="AE19" s="57">
        <v>4890.55</v>
      </c>
      <c r="AF19" s="57">
        <v>71.680000000000007</v>
      </c>
      <c r="AG19" s="57">
        <v>196.35</v>
      </c>
      <c r="AH19" s="42">
        <f t="shared" si="2"/>
        <v>3.8910109498344794E-2</v>
      </c>
    </row>
    <row r="20" spans="1:35" ht="15.75" customHeight="1">
      <c r="A20" t="s">
        <v>59</v>
      </c>
      <c r="B20">
        <v>1</v>
      </c>
      <c r="C20" s="54">
        <v>185</v>
      </c>
      <c r="D20" t="s">
        <v>141</v>
      </c>
      <c r="E20" s="9" t="s">
        <v>24</v>
      </c>
      <c r="F20" s="9" t="s">
        <v>24</v>
      </c>
      <c r="G20" s="17" t="s">
        <v>25</v>
      </c>
      <c r="H20" s="17">
        <v>11</v>
      </c>
      <c r="I20" s="17">
        <v>2.9359999999999999</v>
      </c>
      <c r="J20" s="28">
        <v>96.19</v>
      </c>
      <c r="K20" s="28">
        <v>111.13</v>
      </c>
      <c r="L20" s="15" t="s">
        <v>25</v>
      </c>
      <c r="M20" s="15">
        <v>89</v>
      </c>
      <c r="N20" s="15">
        <v>4.9489999999999998</v>
      </c>
      <c r="O20" s="15">
        <v>85.14</v>
      </c>
      <c r="P20" s="15">
        <v>546.47</v>
      </c>
      <c r="Q20" s="15"/>
      <c r="R20" s="17">
        <v>11</v>
      </c>
      <c r="S20" s="17">
        <v>2.399</v>
      </c>
      <c r="T20" s="28">
        <v>96.16</v>
      </c>
      <c r="U20" s="28">
        <v>111.54</v>
      </c>
      <c r="V20" s="55">
        <f t="shared" si="0"/>
        <v>0.99632418863188088</v>
      </c>
      <c r="W20" s="15" t="s">
        <v>25</v>
      </c>
      <c r="X20" s="15">
        <v>89</v>
      </c>
      <c r="Y20" s="15">
        <v>4.9489999999999998</v>
      </c>
      <c r="Z20" s="15">
        <v>85.14</v>
      </c>
      <c r="AA20" s="15">
        <v>546.47</v>
      </c>
      <c r="AB20" s="42">
        <f t="shared" si="1"/>
        <v>0.20335974527421449</v>
      </c>
      <c r="AD20" s="57" t="s">
        <v>233</v>
      </c>
      <c r="AE20" s="57"/>
      <c r="AF20" s="57"/>
      <c r="AG20" s="57"/>
      <c r="AH20" s="42" t="e">
        <f t="shared" si="2"/>
        <v>#N/A</v>
      </c>
    </row>
    <row r="21" spans="1:35" ht="15.75" customHeight="1">
      <c r="A21" t="s">
        <v>60</v>
      </c>
      <c r="B21"/>
      <c r="C21" s="54">
        <v>185</v>
      </c>
      <c r="D21" t="s">
        <v>142</v>
      </c>
      <c r="E21" s="9" t="s">
        <v>24</v>
      </c>
      <c r="F21" s="9" t="s">
        <v>24</v>
      </c>
      <c r="G21" s="24" t="s">
        <v>128</v>
      </c>
      <c r="H21" s="24">
        <v>1</v>
      </c>
      <c r="I21" s="24">
        <v>1.3089999999999999</v>
      </c>
      <c r="J21" s="25">
        <v>130.72999999999999</v>
      </c>
      <c r="K21" s="25">
        <v>7.58</v>
      </c>
      <c r="L21" s="15" t="s">
        <v>44</v>
      </c>
      <c r="M21" s="15">
        <v>16</v>
      </c>
      <c r="N21" s="15">
        <v>0.96799999999999997</v>
      </c>
      <c r="O21" s="15">
        <v>67.900000000000006</v>
      </c>
      <c r="P21" s="15">
        <v>220.11</v>
      </c>
      <c r="Q21" s="15"/>
      <c r="R21" s="24">
        <v>1</v>
      </c>
      <c r="S21" s="24">
        <v>1.7370000000000001</v>
      </c>
      <c r="T21" s="25">
        <v>141</v>
      </c>
      <c r="U21" s="25">
        <v>14.03</v>
      </c>
      <c r="V21" s="55">
        <f t="shared" si="0"/>
        <v>0.54027084818246618</v>
      </c>
      <c r="W21" s="15" t="s">
        <v>44</v>
      </c>
      <c r="X21" s="15">
        <v>16</v>
      </c>
      <c r="Y21" s="15">
        <v>0.96799999999999997</v>
      </c>
      <c r="Z21" s="15">
        <v>67.900000000000006</v>
      </c>
      <c r="AA21" s="15">
        <v>220.11</v>
      </c>
      <c r="AB21" s="42">
        <f t="shared" si="1"/>
        <v>3.4437326791149879E-2</v>
      </c>
      <c r="AD21" s="57">
        <v>15</v>
      </c>
      <c r="AE21" s="57">
        <v>4775.6099999999997</v>
      </c>
      <c r="AF21" s="57">
        <v>67.349999999999994</v>
      </c>
      <c r="AG21" s="57">
        <v>208.42</v>
      </c>
      <c r="AH21" s="42">
        <f t="shared" si="2"/>
        <v>3.6368870549851266E-2</v>
      </c>
    </row>
    <row r="22" spans="1:35" ht="15.75" customHeight="1">
      <c r="A22" t="s">
        <v>61</v>
      </c>
      <c r="B22"/>
      <c r="C22" s="54">
        <v>185</v>
      </c>
      <c r="D22" t="s">
        <v>143</v>
      </c>
      <c r="E22" s="9" t="s">
        <v>24</v>
      </c>
      <c r="F22" s="9" t="s">
        <v>24</v>
      </c>
      <c r="G22" s="17" t="s">
        <v>128</v>
      </c>
      <c r="H22" s="30">
        <v>16</v>
      </c>
      <c r="I22" s="30">
        <v>2.6</v>
      </c>
      <c r="J22" s="30">
        <v>90.87</v>
      </c>
      <c r="K22" s="19">
        <v>158.08000000000001</v>
      </c>
      <c r="L22" s="15" t="s">
        <v>44</v>
      </c>
      <c r="M22" s="15">
        <v>21</v>
      </c>
      <c r="N22" s="15">
        <v>0.89400000000000002</v>
      </c>
      <c r="O22" s="15">
        <v>100.48</v>
      </c>
      <c r="P22" s="15">
        <v>203.45</v>
      </c>
      <c r="Q22" s="15"/>
      <c r="R22" s="30">
        <v>11</v>
      </c>
      <c r="S22" s="30">
        <v>2.6930000000000001</v>
      </c>
      <c r="T22" s="30">
        <v>90.66</v>
      </c>
      <c r="U22" s="19">
        <v>112.89</v>
      </c>
      <c r="V22" s="42">
        <f t="shared" si="0"/>
        <v>1.4003011781380106</v>
      </c>
      <c r="W22" s="15" t="s">
        <v>44</v>
      </c>
      <c r="X22" s="15">
        <v>21</v>
      </c>
      <c r="Y22" s="15">
        <v>0.89400000000000002</v>
      </c>
      <c r="Z22" s="15">
        <v>100.48</v>
      </c>
      <c r="AA22" s="15">
        <v>203.45</v>
      </c>
      <c r="AB22" s="42">
        <f t="shared" si="1"/>
        <v>0.77699680511182123</v>
      </c>
      <c r="AD22" s="57">
        <v>19</v>
      </c>
      <c r="AE22" s="57">
        <v>2898.24</v>
      </c>
      <c r="AF22" s="57">
        <v>99.37</v>
      </c>
      <c r="AG22" s="57">
        <v>186.06</v>
      </c>
      <c r="AH22" s="42">
        <f t="shared" si="2"/>
        <v>0.84961840266580679</v>
      </c>
    </row>
    <row r="23" spans="1:35" ht="15.75" customHeight="1">
      <c r="A23" t="s">
        <v>63</v>
      </c>
      <c r="B23"/>
      <c r="C23" s="54">
        <v>185</v>
      </c>
      <c r="D23" t="s">
        <v>144</v>
      </c>
      <c r="E23" s="9" t="s">
        <v>24</v>
      </c>
      <c r="F23" s="9" t="s">
        <v>24</v>
      </c>
      <c r="G23" s="17" t="s">
        <v>128</v>
      </c>
      <c r="H23" s="17">
        <v>6</v>
      </c>
      <c r="I23" s="17">
        <v>1.246</v>
      </c>
      <c r="J23" s="28">
        <v>86.2</v>
      </c>
      <c r="K23" s="28">
        <v>65.11</v>
      </c>
      <c r="L23" s="15" t="s">
        <v>44</v>
      </c>
      <c r="M23" s="15">
        <v>23</v>
      </c>
      <c r="N23" s="15">
        <v>1.899</v>
      </c>
      <c r="O23" s="15">
        <v>98.89</v>
      </c>
      <c r="P23" s="15">
        <v>228.5</v>
      </c>
      <c r="Q23" s="15" t="s">
        <v>140</v>
      </c>
      <c r="R23" s="24">
        <v>1</v>
      </c>
      <c r="S23" s="24">
        <v>0.64700000000000002</v>
      </c>
      <c r="T23" s="25">
        <v>4129</v>
      </c>
      <c r="U23" s="25">
        <v>16.62</v>
      </c>
      <c r="V23" s="42">
        <f t="shared" si="0"/>
        <v>3.9175691937424788</v>
      </c>
      <c r="W23" s="15" t="s">
        <v>44</v>
      </c>
      <c r="X23" s="15">
        <v>23</v>
      </c>
      <c r="Y23" s="15">
        <v>1.899</v>
      </c>
      <c r="Z23" s="15">
        <v>98.89</v>
      </c>
      <c r="AA23" s="15">
        <v>228.5</v>
      </c>
      <c r="AB23" s="42">
        <f t="shared" si="1"/>
        <v>0.284945295404814</v>
      </c>
      <c r="AD23" s="57" t="s">
        <v>234</v>
      </c>
      <c r="AE23" s="57"/>
      <c r="AF23" s="57"/>
      <c r="AG23" s="57"/>
      <c r="AH23" s="42" t="e">
        <f t="shared" si="2"/>
        <v>#N/A</v>
      </c>
    </row>
    <row r="24" spans="1:35" ht="15.75" customHeight="1">
      <c r="A24" t="s">
        <v>146</v>
      </c>
      <c r="B24"/>
      <c r="C24" s="54">
        <v>185</v>
      </c>
      <c r="D24" t="s">
        <v>147</v>
      </c>
      <c r="E24" s="9" t="s">
        <v>24</v>
      </c>
      <c r="F24" s="9" t="s">
        <v>24</v>
      </c>
      <c r="G24" s="31" t="s">
        <v>148</v>
      </c>
      <c r="H24" s="31"/>
      <c r="I24" s="31"/>
      <c r="J24" s="32"/>
      <c r="K24" s="32"/>
      <c r="L24" s="33" t="s">
        <v>34</v>
      </c>
      <c r="M24" s="15">
        <v>30</v>
      </c>
      <c r="N24" s="15">
        <v>3.895</v>
      </c>
      <c r="O24" s="15">
        <v>99.12</v>
      </c>
      <c r="P24" s="15">
        <v>291.7</v>
      </c>
      <c r="Q24" s="15" t="s">
        <v>140</v>
      </c>
      <c r="R24" s="31"/>
      <c r="S24" s="31"/>
      <c r="T24" s="32"/>
      <c r="U24" s="32"/>
      <c r="V24" s="42"/>
      <c r="W24" s="33" t="s">
        <v>34</v>
      </c>
      <c r="X24" s="15">
        <v>30</v>
      </c>
      <c r="Y24" s="15">
        <v>3.895</v>
      </c>
      <c r="Z24" s="15">
        <v>99.12</v>
      </c>
      <c r="AA24" s="15">
        <v>291.7</v>
      </c>
      <c r="AB24" s="42"/>
      <c r="AD24" s="57" t="s">
        <v>234</v>
      </c>
      <c r="AE24" s="57"/>
      <c r="AF24" s="57"/>
      <c r="AG24" s="57"/>
      <c r="AH24" s="42" t="e">
        <f t="shared" si="2"/>
        <v>#N/A</v>
      </c>
    </row>
    <row r="25" spans="1:35" ht="15.75" customHeight="1">
      <c r="A25" t="s">
        <v>149</v>
      </c>
      <c r="B25"/>
      <c r="C25" s="54">
        <v>185</v>
      </c>
      <c r="D25" t="s">
        <v>150</v>
      </c>
      <c r="E25" s="9" t="s">
        <v>24</v>
      </c>
      <c r="F25" s="9" t="s">
        <v>24</v>
      </c>
      <c r="G25" s="31" t="s">
        <v>148</v>
      </c>
      <c r="H25" s="31"/>
      <c r="I25" s="31"/>
      <c r="J25" s="32"/>
      <c r="K25" s="32"/>
      <c r="L25" s="15" t="s">
        <v>44</v>
      </c>
      <c r="M25" s="15">
        <v>23</v>
      </c>
      <c r="N25" s="15">
        <v>2.02</v>
      </c>
      <c r="O25" s="15">
        <v>98.57</v>
      </c>
      <c r="P25" s="15">
        <v>228.94</v>
      </c>
      <c r="Q25" s="15" t="s">
        <v>140</v>
      </c>
      <c r="R25" s="31"/>
      <c r="S25" s="31"/>
      <c r="T25" s="32"/>
      <c r="U25" s="32"/>
      <c r="V25" s="42"/>
      <c r="W25" s="15" t="s">
        <v>44</v>
      </c>
      <c r="X25" s="15">
        <v>23</v>
      </c>
      <c r="Y25" s="15">
        <v>2.02</v>
      </c>
      <c r="Z25" s="15">
        <v>98.57</v>
      </c>
      <c r="AA25" s="15">
        <v>228.94</v>
      </c>
      <c r="AB25" s="42"/>
      <c r="AD25" s="57" t="s">
        <v>234</v>
      </c>
      <c r="AE25" s="57"/>
      <c r="AF25" s="57"/>
      <c r="AG25" s="57"/>
      <c r="AH25" s="42" t="e">
        <f t="shared" si="2"/>
        <v>#N/A</v>
      </c>
    </row>
    <row r="26" spans="1:35" ht="15.75" customHeight="1">
      <c r="A26" t="s">
        <v>67</v>
      </c>
      <c r="B26"/>
      <c r="C26" s="54" t="s">
        <v>125</v>
      </c>
      <c r="D26" t="s">
        <v>151</v>
      </c>
      <c r="E26" s="9" t="s">
        <v>24</v>
      </c>
      <c r="F26" s="9" t="s">
        <v>24</v>
      </c>
      <c r="G26" s="17" t="s">
        <v>25</v>
      </c>
      <c r="H26" s="17">
        <v>336</v>
      </c>
      <c r="I26" s="17">
        <v>4.9219999999999997</v>
      </c>
      <c r="J26" s="28">
        <v>84.76</v>
      </c>
      <c r="K26" s="28">
        <v>3714.85</v>
      </c>
      <c r="L26" s="26" t="s">
        <v>25</v>
      </c>
      <c r="M26" s="15">
        <v>312</v>
      </c>
      <c r="N26" s="15">
        <v>4.2709999999999999</v>
      </c>
      <c r="O26" s="15">
        <v>99.56</v>
      </c>
      <c r="P26" s="15">
        <v>2775.37</v>
      </c>
      <c r="Q26" s="15"/>
      <c r="R26" s="17">
        <v>16</v>
      </c>
      <c r="S26" s="17">
        <v>1.397</v>
      </c>
      <c r="T26" s="28">
        <v>32.700000000000003</v>
      </c>
      <c r="U26" s="28">
        <v>398.1</v>
      </c>
      <c r="V26" s="42">
        <f t="shared" si="0"/>
        <v>9.3314493845767394</v>
      </c>
      <c r="W26" s="26" t="s">
        <v>25</v>
      </c>
      <c r="X26" s="15">
        <v>312</v>
      </c>
      <c r="Y26" s="15">
        <v>4.2709999999999999</v>
      </c>
      <c r="Z26" s="15">
        <v>99.56</v>
      </c>
      <c r="AA26" s="15">
        <v>2775.37</v>
      </c>
      <c r="AB26" s="42">
        <f t="shared" ref="AB26:AB32" si="3">K26/AA26</f>
        <v>1.3385062171890596</v>
      </c>
      <c r="AD26" s="57">
        <v>337</v>
      </c>
      <c r="AE26" s="57">
        <v>2742.64</v>
      </c>
      <c r="AF26" s="57">
        <v>96.42</v>
      </c>
      <c r="AG26" s="57">
        <v>3176.94</v>
      </c>
      <c r="AH26" s="42">
        <f t="shared" si="2"/>
        <v>1.1693170157447104</v>
      </c>
    </row>
    <row r="27" spans="1:35" ht="15.75" customHeight="1">
      <c r="A27" t="s">
        <v>68</v>
      </c>
      <c r="B27"/>
      <c r="C27" s="54" t="s">
        <v>125</v>
      </c>
      <c r="D27" t="s">
        <v>152</v>
      </c>
      <c r="E27" s="9" t="s">
        <v>24</v>
      </c>
      <c r="F27" s="9" t="s">
        <v>24</v>
      </c>
      <c r="G27" s="17" t="s">
        <v>25</v>
      </c>
      <c r="H27" s="17">
        <v>86</v>
      </c>
      <c r="I27" s="17">
        <v>4.9210000000000003</v>
      </c>
      <c r="J27" s="28">
        <v>58.66</v>
      </c>
      <c r="K27" s="28">
        <v>1337.94</v>
      </c>
      <c r="L27" s="26" t="s">
        <v>25</v>
      </c>
      <c r="M27" s="15">
        <v>134</v>
      </c>
      <c r="N27" s="15">
        <v>4.8959999999999999</v>
      </c>
      <c r="O27" s="15">
        <v>90.71</v>
      </c>
      <c r="P27" s="15">
        <v>1307.1300000000001</v>
      </c>
      <c r="Q27" s="15"/>
      <c r="R27" s="17">
        <v>16</v>
      </c>
      <c r="S27" s="17">
        <v>3.7509999999999999</v>
      </c>
      <c r="T27" s="28">
        <v>61.5</v>
      </c>
      <c r="U27" s="28">
        <v>245.11</v>
      </c>
      <c r="V27" s="42">
        <f t="shared" si="0"/>
        <v>5.4585288237933991</v>
      </c>
      <c r="W27" s="26" t="s">
        <v>25</v>
      </c>
      <c r="X27" s="15">
        <v>134</v>
      </c>
      <c r="Y27" s="15">
        <v>4.8959999999999999</v>
      </c>
      <c r="Z27" s="15">
        <v>90.71</v>
      </c>
      <c r="AA27" s="15">
        <v>1307.1300000000001</v>
      </c>
      <c r="AB27" s="42">
        <f t="shared" si="3"/>
        <v>1.023570723646462</v>
      </c>
      <c r="AD27" s="84">
        <v>177</v>
      </c>
      <c r="AE27" s="58">
        <v>3444.43</v>
      </c>
      <c r="AF27" s="58">
        <v>95.42</v>
      </c>
      <c r="AG27" s="58">
        <v>1690.97</v>
      </c>
      <c r="AH27" s="42">
        <f t="shared" si="2"/>
        <v>0.79122633754590566</v>
      </c>
      <c r="AI27" s="27" t="s">
        <v>232</v>
      </c>
    </row>
    <row r="28" spans="1:35" ht="15.75" customHeight="1">
      <c r="A28" t="s">
        <v>69</v>
      </c>
      <c r="B28"/>
      <c r="C28" s="54" t="s">
        <v>125</v>
      </c>
      <c r="D28" t="s">
        <v>153</v>
      </c>
      <c r="E28" s="9" t="s">
        <v>24</v>
      </c>
      <c r="F28" s="9" t="s">
        <v>24</v>
      </c>
      <c r="G28" s="17" t="s">
        <v>25</v>
      </c>
      <c r="H28" s="34">
        <v>46</v>
      </c>
      <c r="I28" s="34">
        <v>4.8659999999999997</v>
      </c>
      <c r="J28" s="35">
        <v>87.75</v>
      </c>
      <c r="K28" s="28">
        <v>493.07</v>
      </c>
      <c r="L28" s="26" t="s">
        <v>25</v>
      </c>
      <c r="M28" s="15">
        <v>67</v>
      </c>
      <c r="N28" s="15">
        <v>4.9930000000000003</v>
      </c>
      <c r="O28" s="15">
        <v>99.9</v>
      </c>
      <c r="P28" s="15">
        <v>609.70000000000005</v>
      </c>
      <c r="Q28" s="15"/>
      <c r="R28" s="34">
        <v>11</v>
      </c>
      <c r="S28" s="34">
        <v>4.4720000000000004</v>
      </c>
      <c r="T28" s="35">
        <v>90.48</v>
      </c>
      <c r="U28" s="28">
        <v>113.94</v>
      </c>
      <c r="V28" s="42">
        <f t="shared" si="0"/>
        <v>4.3274530454625237</v>
      </c>
      <c r="W28" s="26" t="s">
        <v>25</v>
      </c>
      <c r="X28" s="15">
        <v>67</v>
      </c>
      <c r="Y28" s="15">
        <v>4.9930000000000003</v>
      </c>
      <c r="Z28" s="15">
        <v>99.9</v>
      </c>
      <c r="AA28" s="15">
        <v>609.70000000000005</v>
      </c>
      <c r="AB28" s="42">
        <f t="shared" si="3"/>
        <v>0.80870920124651458</v>
      </c>
      <c r="AD28" s="84">
        <v>138</v>
      </c>
      <c r="AE28" s="58">
        <v>4278.04</v>
      </c>
      <c r="AF28" s="58">
        <v>98.52</v>
      </c>
      <c r="AG28" s="84">
        <v>1278.75</v>
      </c>
      <c r="AH28" s="42">
        <f t="shared" si="2"/>
        <v>0.38558748778103619</v>
      </c>
      <c r="AI28" s="27" t="s">
        <v>232</v>
      </c>
    </row>
    <row r="29" spans="1:35" ht="15.75" customHeight="1">
      <c r="A29" t="s">
        <v>71</v>
      </c>
      <c r="B29"/>
      <c r="C29" s="54" t="s">
        <v>125</v>
      </c>
      <c r="D29" t="s">
        <v>154</v>
      </c>
      <c r="E29" s="9" t="s">
        <v>24</v>
      </c>
      <c r="F29" s="9" t="s">
        <v>24</v>
      </c>
      <c r="G29" s="28" t="s">
        <v>25</v>
      </c>
      <c r="H29" s="17">
        <v>51</v>
      </c>
      <c r="I29" s="17">
        <v>4.9889999999999999</v>
      </c>
      <c r="J29" s="28">
        <v>97.31</v>
      </c>
      <c r="K29" s="19">
        <v>472.58</v>
      </c>
      <c r="L29" s="26" t="s">
        <v>25</v>
      </c>
      <c r="M29" s="15">
        <v>56</v>
      </c>
      <c r="N29" s="15">
        <v>4.7450000000000001</v>
      </c>
      <c r="O29" s="15">
        <v>81.36</v>
      </c>
      <c r="P29" s="15">
        <v>476.17</v>
      </c>
      <c r="Q29" s="15"/>
      <c r="R29" s="17">
        <v>1</v>
      </c>
      <c r="S29" s="17">
        <v>0.76</v>
      </c>
      <c r="T29" s="28">
        <v>74.55</v>
      </c>
      <c r="U29" s="19">
        <v>13.29</v>
      </c>
      <c r="V29" s="42">
        <f t="shared" si="0"/>
        <v>35.559066967644846</v>
      </c>
      <c r="W29" s="26" t="s">
        <v>25</v>
      </c>
      <c r="X29" s="15">
        <v>56</v>
      </c>
      <c r="Y29" s="15">
        <v>4.7450000000000001</v>
      </c>
      <c r="Z29" s="15">
        <v>81.36</v>
      </c>
      <c r="AA29" s="15">
        <v>476.17</v>
      </c>
      <c r="AB29" s="42">
        <f t="shared" si="3"/>
        <v>0.99246067580905972</v>
      </c>
      <c r="AD29" s="57" t="s">
        <v>230</v>
      </c>
      <c r="AE29" s="57"/>
      <c r="AF29" s="57"/>
      <c r="AG29" s="57"/>
      <c r="AH29" s="42" t="e">
        <f t="shared" si="2"/>
        <v>#N/A</v>
      </c>
    </row>
    <row r="30" spans="1:35" ht="15.75" customHeight="1">
      <c r="A30" t="s">
        <v>72</v>
      </c>
      <c r="B30"/>
      <c r="C30" s="54">
        <v>185</v>
      </c>
      <c r="D30" t="s">
        <v>155</v>
      </c>
      <c r="E30" s="9" t="s">
        <v>24</v>
      </c>
      <c r="F30" s="9" t="s">
        <v>24</v>
      </c>
      <c r="G30" s="28" t="s">
        <v>25</v>
      </c>
      <c r="H30" s="36">
        <v>46</v>
      </c>
      <c r="I30" s="36">
        <v>4.7750000000000004</v>
      </c>
      <c r="J30" s="37">
        <v>82.31</v>
      </c>
      <c r="K30" s="19">
        <v>517.71</v>
      </c>
      <c r="L30" s="15" t="s">
        <v>25</v>
      </c>
      <c r="M30" s="15">
        <v>61</v>
      </c>
      <c r="N30" s="15">
        <v>4.8869999999999996</v>
      </c>
      <c r="O30" s="15">
        <v>89.39</v>
      </c>
      <c r="P30" s="15">
        <v>624.17999999999995</v>
      </c>
      <c r="Q30" s="15"/>
      <c r="R30" s="36">
        <v>11</v>
      </c>
      <c r="S30" s="36">
        <v>4.6369999999999996</v>
      </c>
      <c r="T30" s="37">
        <v>92.92</v>
      </c>
      <c r="U30" s="19">
        <v>109.98</v>
      </c>
      <c r="V30" s="42">
        <f t="shared" si="0"/>
        <v>4.7073104200763778</v>
      </c>
      <c r="W30" s="15" t="s">
        <v>25</v>
      </c>
      <c r="X30" s="15">
        <v>61</v>
      </c>
      <c r="Y30" s="15">
        <v>4.8869999999999996</v>
      </c>
      <c r="Z30" s="15">
        <v>89.39</v>
      </c>
      <c r="AA30" s="15">
        <v>624.17999999999995</v>
      </c>
      <c r="AB30" s="42">
        <f t="shared" si="3"/>
        <v>0.82942420455637811</v>
      </c>
      <c r="AD30" s="58">
        <v>67</v>
      </c>
      <c r="AE30" s="58">
        <v>4817.9399999999996</v>
      </c>
      <c r="AF30" s="58">
        <v>92.04</v>
      </c>
      <c r="AG30" s="84">
        <v>669.91</v>
      </c>
      <c r="AH30" s="42">
        <f t="shared" si="2"/>
        <v>0.77280530220477384</v>
      </c>
      <c r="AI30" s="27" t="s">
        <v>226</v>
      </c>
    </row>
    <row r="31" spans="1:35" ht="15.75" customHeight="1">
      <c r="A31" t="s">
        <v>74</v>
      </c>
      <c r="B31" t="s">
        <v>156</v>
      </c>
      <c r="C31" s="54" t="s">
        <v>125</v>
      </c>
      <c r="D31" t="s">
        <v>157</v>
      </c>
      <c r="E31" s="9" t="s">
        <v>24</v>
      </c>
      <c r="F31" s="9" t="s">
        <v>24</v>
      </c>
      <c r="G31" s="28" t="s">
        <v>25</v>
      </c>
      <c r="H31" s="17">
        <v>171</v>
      </c>
      <c r="I31" s="17">
        <v>4.9130000000000003</v>
      </c>
      <c r="J31" s="28">
        <v>62.22</v>
      </c>
      <c r="K31" s="28">
        <v>2481.9699999999998</v>
      </c>
      <c r="L31" s="26" t="s">
        <v>25</v>
      </c>
      <c r="M31" s="15">
        <v>210</v>
      </c>
      <c r="N31" s="15">
        <v>4.9740000000000002</v>
      </c>
      <c r="O31" s="15">
        <v>89.5</v>
      </c>
      <c r="P31" s="15">
        <v>1842.45</v>
      </c>
      <c r="Q31" s="15"/>
      <c r="R31" s="17">
        <v>26</v>
      </c>
      <c r="S31" s="17">
        <v>4.282</v>
      </c>
      <c r="T31" s="28">
        <v>60.52</v>
      </c>
      <c r="U31" s="28">
        <v>392.85</v>
      </c>
      <c r="V31" s="42">
        <f t="shared" si="0"/>
        <v>6.3178566883034231</v>
      </c>
      <c r="W31" s="26" t="s">
        <v>25</v>
      </c>
      <c r="X31" s="15">
        <v>210</v>
      </c>
      <c r="Y31" s="15">
        <v>4.9740000000000002</v>
      </c>
      <c r="Z31" s="15">
        <v>89.5</v>
      </c>
      <c r="AA31" s="15">
        <v>1842.45</v>
      </c>
      <c r="AB31" s="42">
        <f t="shared" si="3"/>
        <v>1.3471030421449699</v>
      </c>
      <c r="AD31" s="57" t="s">
        <v>230</v>
      </c>
      <c r="AE31" s="57"/>
      <c r="AF31" s="57"/>
      <c r="AG31" s="57"/>
      <c r="AH31" s="42" t="e">
        <f t="shared" si="2"/>
        <v>#N/A</v>
      </c>
    </row>
    <row r="32" spans="1:35" ht="15.75" customHeight="1">
      <c r="A32" t="s">
        <v>75</v>
      </c>
      <c r="B32" t="s">
        <v>156</v>
      </c>
      <c r="C32" s="54" t="s">
        <v>125</v>
      </c>
      <c r="D32" t="s">
        <v>158</v>
      </c>
      <c r="E32" s="9" t="s">
        <v>24</v>
      </c>
      <c r="F32" s="9" t="s">
        <v>24</v>
      </c>
      <c r="G32" s="17" t="s">
        <v>25</v>
      </c>
      <c r="H32" s="17">
        <v>41</v>
      </c>
      <c r="I32" s="17">
        <v>4.9740000000000002</v>
      </c>
      <c r="J32" s="28">
        <v>89.6</v>
      </c>
      <c r="K32" s="28">
        <v>429.45</v>
      </c>
      <c r="L32" s="26" t="s">
        <v>25</v>
      </c>
      <c r="M32" s="15">
        <v>16</v>
      </c>
      <c r="N32" s="15">
        <v>2.004</v>
      </c>
      <c r="O32" s="15">
        <v>99.53</v>
      </c>
      <c r="P32" s="15">
        <v>147.38999999999999</v>
      </c>
      <c r="Q32" s="15"/>
      <c r="R32" s="20">
        <v>1</v>
      </c>
      <c r="S32" s="20">
        <v>1.083</v>
      </c>
      <c r="T32" s="38">
        <v>164.82</v>
      </c>
      <c r="U32" s="25">
        <v>17.98</v>
      </c>
      <c r="V32" s="42">
        <f t="shared" si="0"/>
        <v>23.884872080088986</v>
      </c>
      <c r="W32" s="26" t="s">
        <v>25</v>
      </c>
      <c r="X32" s="15">
        <v>16</v>
      </c>
      <c r="Y32" s="15">
        <v>2.004</v>
      </c>
      <c r="Z32" s="15">
        <v>99.53</v>
      </c>
      <c r="AA32" s="15">
        <v>147.38999999999999</v>
      </c>
      <c r="AB32" s="42">
        <f t="shared" si="3"/>
        <v>2.9136983513128438</v>
      </c>
      <c r="AD32" s="57" t="s">
        <v>230</v>
      </c>
      <c r="AE32" s="57"/>
      <c r="AF32" s="57"/>
      <c r="AG32" s="57"/>
      <c r="AH32" s="42" t="e">
        <f t="shared" si="2"/>
        <v>#N/A</v>
      </c>
    </row>
    <row r="33" spans="1:35" ht="15.75" customHeight="1">
      <c r="A33" t="s">
        <v>80</v>
      </c>
      <c r="B33" t="s">
        <v>159</v>
      </c>
      <c r="C33" s="54">
        <v>185</v>
      </c>
      <c r="D33" t="s">
        <v>160</v>
      </c>
      <c r="E33" s="9" t="s">
        <v>24</v>
      </c>
      <c r="F33" s="9" t="s">
        <v>24</v>
      </c>
      <c r="G33" s="17" t="s">
        <v>25</v>
      </c>
      <c r="H33" s="17">
        <v>11</v>
      </c>
      <c r="I33" s="17">
        <v>2.032</v>
      </c>
      <c r="J33" s="28">
        <v>80.44</v>
      </c>
      <c r="K33" s="28">
        <v>32.03</v>
      </c>
      <c r="L33" s="15" t="s">
        <v>25</v>
      </c>
      <c r="M33" s="15"/>
      <c r="N33" s="15"/>
      <c r="O33" s="15"/>
      <c r="P33" s="15"/>
      <c r="Q33" s="15" t="s">
        <v>161</v>
      </c>
      <c r="R33" s="24">
        <v>1</v>
      </c>
      <c r="S33" s="24">
        <v>1.3149999999999999</v>
      </c>
      <c r="T33" s="25">
        <v>114.94</v>
      </c>
      <c r="U33" s="25">
        <v>41.51</v>
      </c>
      <c r="V33" s="42">
        <f t="shared" si="0"/>
        <v>0.77162129607323537</v>
      </c>
      <c r="W33" s="15" t="s">
        <v>25</v>
      </c>
      <c r="X33" s="15"/>
      <c r="Y33" s="15"/>
      <c r="Z33" s="15"/>
      <c r="AA33" s="15"/>
      <c r="AB33" s="42"/>
      <c r="AC33" s="9" t="s">
        <v>235</v>
      </c>
      <c r="AD33" s="57"/>
      <c r="AE33" s="57"/>
      <c r="AF33" s="57"/>
      <c r="AG33" s="57"/>
      <c r="AH33" s="42" t="e">
        <f t="shared" si="2"/>
        <v>#N/A</v>
      </c>
    </row>
    <row r="34" spans="1:35" ht="15.75" customHeight="1">
      <c r="G34" s="17"/>
      <c r="H34" s="17"/>
      <c r="I34" s="17"/>
      <c r="J34" s="28"/>
      <c r="K34" s="28"/>
      <c r="L34" s="15"/>
      <c r="M34" s="15"/>
      <c r="N34" s="15"/>
      <c r="O34" s="15"/>
      <c r="P34" s="15"/>
      <c r="Q34" s="15"/>
      <c r="R34" s="17"/>
      <c r="S34" s="17"/>
      <c r="T34" s="28"/>
      <c r="U34" s="28"/>
      <c r="V34" s="42"/>
      <c r="W34" s="15"/>
      <c r="X34" s="15"/>
      <c r="Y34" s="15"/>
      <c r="Z34" s="15"/>
      <c r="AA34" s="15"/>
      <c r="AB34" s="42"/>
      <c r="AD34" s="57"/>
      <c r="AE34" s="57"/>
      <c r="AF34" s="57"/>
      <c r="AG34" s="57"/>
      <c r="AH34" s="42" t="e">
        <f t="shared" si="2"/>
        <v>#N/A</v>
      </c>
    </row>
    <row r="35" spans="1:35" ht="15.75" customHeight="1">
      <c r="A35" t="s">
        <v>162</v>
      </c>
      <c r="B35"/>
      <c r="C35" s="54">
        <v>185</v>
      </c>
      <c r="D35" t="s">
        <v>163</v>
      </c>
      <c r="G35" s="31" t="s">
        <v>148</v>
      </c>
      <c r="H35" s="31"/>
      <c r="I35" s="31"/>
      <c r="J35" s="32"/>
      <c r="K35" s="32"/>
      <c r="L35" s="15" t="s">
        <v>34</v>
      </c>
      <c r="M35" s="15">
        <v>4</v>
      </c>
      <c r="N35" s="15">
        <v>4.63</v>
      </c>
      <c r="O35" s="15">
        <v>99.44</v>
      </c>
      <c r="P35" s="15">
        <v>38.51</v>
      </c>
      <c r="Q35" s="15"/>
      <c r="R35" s="31"/>
      <c r="S35" s="31"/>
      <c r="T35" s="32"/>
      <c r="U35" s="32"/>
      <c r="V35" s="42"/>
      <c r="W35" s="15" t="s">
        <v>34</v>
      </c>
      <c r="X35" s="15">
        <v>4</v>
      </c>
      <c r="Y35" s="15">
        <v>4.63</v>
      </c>
      <c r="Z35" s="15">
        <v>99.44</v>
      </c>
      <c r="AA35" s="15">
        <v>38.51</v>
      </c>
      <c r="AB35" s="42">
        <f t="shared" ref="AB35:AB42" si="4">K35/AA35</f>
        <v>0</v>
      </c>
      <c r="AD35" s="57">
        <v>4</v>
      </c>
      <c r="AE35" s="60">
        <v>4792.1099999999997</v>
      </c>
      <c r="AF35" s="60">
        <v>98.68</v>
      </c>
      <c r="AG35" s="60">
        <v>38.729999999999997</v>
      </c>
      <c r="AH35" s="42">
        <f t="shared" si="2"/>
        <v>0</v>
      </c>
    </row>
    <row r="36" spans="1:35" ht="15.75" customHeight="1">
      <c r="A36" t="s">
        <v>164</v>
      </c>
      <c r="B36"/>
      <c r="C36" s="54">
        <v>185</v>
      </c>
      <c r="D36" t="s">
        <v>165</v>
      </c>
      <c r="G36" s="31" t="s">
        <v>148</v>
      </c>
      <c r="H36" s="31"/>
      <c r="I36" s="31"/>
      <c r="J36" s="32"/>
      <c r="K36" s="32"/>
      <c r="L36" s="15" t="s">
        <v>34</v>
      </c>
      <c r="M36" s="15">
        <v>1</v>
      </c>
      <c r="N36" s="15">
        <v>1.9810000000000001</v>
      </c>
      <c r="O36" s="15">
        <v>72.319999999999993</v>
      </c>
      <c r="P36" s="15">
        <v>13.49</v>
      </c>
      <c r="Q36" s="15"/>
      <c r="R36" s="31"/>
      <c r="S36" s="31"/>
      <c r="T36" s="32"/>
      <c r="U36" s="32"/>
      <c r="V36" s="42"/>
      <c r="W36" s="15" t="s">
        <v>34</v>
      </c>
      <c r="X36" s="15">
        <v>1</v>
      </c>
      <c r="Y36" s="15">
        <v>1.9810000000000001</v>
      </c>
      <c r="Z36" s="15">
        <v>72.319999999999993</v>
      </c>
      <c r="AA36" s="15">
        <v>13.49</v>
      </c>
      <c r="AB36" s="42">
        <f t="shared" si="4"/>
        <v>0</v>
      </c>
      <c r="AD36" s="57" t="s">
        <v>236</v>
      </c>
      <c r="AE36" s="57"/>
      <c r="AF36" s="57"/>
      <c r="AG36" s="57"/>
      <c r="AH36" s="42" t="e">
        <f t="shared" si="2"/>
        <v>#N/A</v>
      </c>
    </row>
    <row r="37" spans="1:35" ht="15.95">
      <c r="A37" t="s">
        <v>166</v>
      </c>
      <c r="B37"/>
      <c r="C37" s="54">
        <v>185</v>
      </c>
      <c r="D37" t="s">
        <v>167</v>
      </c>
      <c r="G37" s="31" t="s">
        <v>148</v>
      </c>
      <c r="H37" s="31"/>
      <c r="I37" s="31"/>
      <c r="J37" s="32"/>
      <c r="K37" s="32"/>
      <c r="L37" s="15" t="s">
        <v>34</v>
      </c>
      <c r="M37" s="15">
        <v>1</v>
      </c>
      <c r="N37" s="15">
        <v>1.9550000000000001</v>
      </c>
      <c r="O37" s="15">
        <v>74.69</v>
      </c>
      <c r="P37" s="15">
        <v>13.08</v>
      </c>
      <c r="Q37" s="15"/>
      <c r="R37" s="31"/>
      <c r="S37" s="31"/>
      <c r="T37" s="32"/>
      <c r="U37" s="32"/>
      <c r="V37" s="42"/>
      <c r="W37" s="15" t="s">
        <v>34</v>
      </c>
      <c r="X37" s="15">
        <v>1</v>
      </c>
      <c r="Y37" s="15">
        <v>1.9550000000000001</v>
      </c>
      <c r="Z37" s="15">
        <v>74.69</v>
      </c>
      <c r="AA37" s="15">
        <v>13.08</v>
      </c>
      <c r="AB37" s="42">
        <f t="shared" si="4"/>
        <v>0</v>
      </c>
      <c r="AD37" s="57">
        <v>1</v>
      </c>
      <c r="AE37" s="60">
        <v>1994.99</v>
      </c>
      <c r="AF37" s="60">
        <v>72.75</v>
      </c>
      <c r="AG37" s="60">
        <v>13.41</v>
      </c>
      <c r="AH37" s="42">
        <f t="shared" si="2"/>
        <v>0</v>
      </c>
    </row>
    <row r="38" spans="1:35" ht="15.95">
      <c r="A38" t="s">
        <v>168</v>
      </c>
      <c r="B38"/>
      <c r="C38" s="54">
        <v>185</v>
      </c>
      <c r="D38" t="s">
        <v>169</v>
      </c>
      <c r="G38" s="31" t="s">
        <v>148</v>
      </c>
      <c r="H38" s="31"/>
      <c r="I38" s="31"/>
      <c r="J38" s="32"/>
      <c r="K38" s="32"/>
      <c r="L38" s="15" t="s">
        <v>34</v>
      </c>
      <c r="M38" s="15">
        <v>4</v>
      </c>
      <c r="N38" s="15">
        <v>3.1970000000000001</v>
      </c>
      <c r="O38" s="15">
        <v>93.97</v>
      </c>
      <c r="P38" s="15">
        <v>41.23</v>
      </c>
      <c r="Q38" s="15"/>
      <c r="R38" s="31"/>
      <c r="S38" s="31"/>
      <c r="T38" s="32"/>
      <c r="U38" s="32"/>
      <c r="V38" s="42"/>
      <c r="W38" s="15" t="s">
        <v>34</v>
      </c>
      <c r="X38" s="15">
        <v>4</v>
      </c>
      <c r="Y38" s="15">
        <v>3.1970000000000001</v>
      </c>
      <c r="Z38" s="15">
        <v>93.97</v>
      </c>
      <c r="AA38" s="15">
        <v>41.23</v>
      </c>
      <c r="AB38" s="42">
        <f t="shared" si="4"/>
        <v>0</v>
      </c>
      <c r="AD38" s="60">
        <v>4</v>
      </c>
      <c r="AE38" s="60">
        <v>3461</v>
      </c>
      <c r="AF38" s="60">
        <v>97.01</v>
      </c>
      <c r="AG38" s="60">
        <v>39.869999999999997</v>
      </c>
      <c r="AH38" s="42">
        <f t="shared" ref="AH38:AH60" si="5">IFERROR(K38/AG38,NA())</f>
        <v>0</v>
      </c>
    </row>
    <row r="39" spans="1:35" ht="15.95">
      <c r="A39" t="s">
        <v>170</v>
      </c>
      <c r="B39"/>
      <c r="C39" s="54">
        <v>185</v>
      </c>
      <c r="D39" t="s">
        <v>171</v>
      </c>
      <c r="G39" s="31" t="s">
        <v>148</v>
      </c>
      <c r="H39" s="31"/>
      <c r="I39" s="31"/>
      <c r="J39" s="32"/>
      <c r="K39" s="32"/>
      <c r="L39" s="15" t="s">
        <v>25</v>
      </c>
      <c r="M39" s="15">
        <v>24</v>
      </c>
      <c r="N39" s="15">
        <v>4.7460000000000004</v>
      </c>
      <c r="O39" s="15">
        <v>99.65</v>
      </c>
      <c r="P39" s="15">
        <v>225.04</v>
      </c>
      <c r="Q39" s="15"/>
      <c r="R39" s="31"/>
      <c r="S39" s="31"/>
      <c r="T39" s="32"/>
      <c r="U39" s="32"/>
      <c r="V39" s="42"/>
      <c r="W39" s="15" t="s">
        <v>25</v>
      </c>
      <c r="X39" s="15">
        <v>24</v>
      </c>
      <c r="Y39" s="15">
        <v>4.7460000000000004</v>
      </c>
      <c r="Z39" s="15">
        <v>99.65</v>
      </c>
      <c r="AA39" s="15">
        <v>225.04</v>
      </c>
      <c r="AB39" s="42">
        <f t="shared" si="4"/>
        <v>0</v>
      </c>
      <c r="AD39" s="57">
        <v>24</v>
      </c>
      <c r="AE39" s="57">
        <v>4690.6000000000004</v>
      </c>
      <c r="AF39" s="57">
        <v>98.48</v>
      </c>
      <c r="AG39" s="57">
        <v>230.04</v>
      </c>
      <c r="AH39" s="42">
        <f t="shared" si="5"/>
        <v>0</v>
      </c>
    </row>
    <row r="40" spans="1:35" ht="15.95">
      <c r="A40" t="s">
        <v>173</v>
      </c>
      <c r="B40"/>
      <c r="C40" s="54">
        <v>185</v>
      </c>
      <c r="D40" t="s">
        <v>174</v>
      </c>
      <c r="G40" s="31" t="s">
        <v>148</v>
      </c>
      <c r="H40" s="31"/>
      <c r="I40" s="31"/>
      <c r="J40" s="32"/>
      <c r="K40" s="32"/>
      <c r="L40" s="15" t="s">
        <v>44</v>
      </c>
      <c r="M40" s="15">
        <v>31</v>
      </c>
      <c r="N40" s="15">
        <v>2.323</v>
      </c>
      <c r="O40" s="15">
        <v>95.57</v>
      </c>
      <c r="P40" s="15">
        <v>317.06</v>
      </c>
      <c r="Q40" s="15"/>
      <c r="R40" s="31"/>
      <c r="S40" s="31"/>
      <c r="T40" s="32"/>
      <c r="U40" s="32"/>
      <c r="V40" s="42"/>
      <c r="W40" s="15" t="s">
        <v>44</v>
      </c>
      <c r="X40" s="15">
        <v>31</v>
      </c>
      <c r="Y40" s="15">
        <v>2.323</v>
      </c>
      <c r="Z40" s="15">
        <v>95.57</v>
      </c>
      <c r="AA40" s="15">
        <v>317.06</v>
      </c>
      <c r="AB40" s="42">
        <f>K40/AA40</f>
        <v>0</v>
      </c>
      <c r="AD40" s="57" t="s">
        <v>237</v>
      </c>
      <c r="AE40" s="57"/>
      <c r="AF40" s="57"/>
      <c r="AG40" s="57"/>
      <c r="AH40" s="42" t="e">
        <f t="shared" si="5"/>
        <v>#N/A</v>
      </c>
    </row>
    <row r="41" spans="1:35" ht="15.95">
      <c r="A41" t="s">
        <v>175</v>
      </c>
      <c r="B41"/>
      <c r="C41" s="54">
        <v>185</v>
      </c>
      <c r="D41" t="s">
        <v>176</v>
      </c>
      <c r="G41" s="31" t="s">
        <v>148</v>
      </c>
      <c r="H41" s="31"/>
      <c r="I41" s="31"/>
      <c r="J41" s="32"/>
      <c r="K41" s="32"/>
      <c r="L41" s="15" t="s">
        <v>44</v>
      </c>
      <c r="M41" s="15">
        <v>27</v>
      </c>
      <c r="N41" s="15">
        <v>4.2069999999999999</v>
      </c>
      <c r="O41" s="15">
        <v>98.32</v>
      </c>
      <c r="P41" s="15">
        <v>170.52</v>
      </c>
      <c r="Q41" s="15"/>
      <c r="R41" s="31"/>
      <c r="S41" s="31"/>
      <c r="T41" s="32"/>
      <c r="U41" s="32"/>
      <c r="V41" s="42"/>
      <c r="W41" s="15" t="s">
        <v>44</v>
      </c>
      <c r="X41" s="15">
        <v>27</v>
      </c>
      <c r="Y41" s="15">
        <v>4.2069999999999999</v>
      </c>
      <c r="Z41" s="15">
        <v>98.32</v>
      </c>
      <c r="AA41" s="15">
        <v>170.52</v>
      </c>
      <c r="AB41" s="42">
        <f t="shared" si="4"/>
        <v>0</v>
      </c>
      <c r="AD41" s="57" t="s">
        <v>237</v>
      </c>
      <c r="AE41" s="57"/>
      <c r="AF41" s="57"/>
      <c r="AG41" s="57"/>
      <c r="AH41" s="42" t="e">
        <f t="shared" si="5"/>
        <v>#N/A</v>
      </c>
    </row>
    <row r="42" spans="1:35" ht="15.95">
      <c r="A42" t="s">
        <v>177</v>
      </c>
      <c r="B42"/>
      <c r="C42" s="54">
        <v>185</v>
      </c>
      <c r="D42" t="s">
        <v>178</v>
      </c>
      <c r="G42" s="31" t="s">
        <v>148</v>
      </c>
      <c r="H42" s="31"/>
      <c r="I42" s="31"/>
      <c r="J42" s="32"/>
      <c r="K42" s="32"/>
      <c r="L42" s="15" t="s">
        <v>34</v>
      </c>
      <c r="M42" s="15">
        <v>2</v>
      </c>
      <c r="N42" s="15">
        <v>3.1040000000000001</v>
      </c>
      <c r="O42" s="15">
        <v>96.53</v>
      </c>
      <c r="P42" s="15">
        <v>20.11</v>
      </c>
      <c r="Q42" s="15"/>
      <c r="R42" s="31"/>
      <c r="S42" s="31"/>
      <c r="T42" s="32"/>
      <c r="U42" s="32"/>
      <c r="V42" s="42"/>
      <c r="W42" s="15" t="s">
        <v>34</v>
      </c>
      <c r="X42" s="15">
        <v>2</v>
      </c>
      <c r="Y42" s="15">
        <v>3.1040000000000001</v>
      </c>
      <c r="Z42" s="15">
        <v>96.53</v>
      </c>
      <c r="AA42" s="15">
        <v>20.11</v>
      </c>
      <c r="AB42" s="42">
        <f t="shared" si="4"/>
        <v>0</v>
      </c>
      <c r="AD42" s="57" t="s">
        <v>238</v>
      </c>
      <c r="AE42" s="57"/>
      <c r="AF42" s="57"/>
      <c r="AG42" s="57"/>
      <c r="AH42" s="42" t="e">
        <f t="shared" si="5"/>
        <v>#N/A</v>
      </c>
    </row>
    <row r="43" spans="1:35" ht="15.95">
      <c r="A43" t="s">
        <v>84</v>
      </c>
      <c r="B43"/>
      <c r="C43" s="54">
        <v>185</v>
      </c>
      <c r="D43" t="s">
        <v>179</v>
      </c>
      <c r="E43" s="9" t="s">
        <v>85</v>
      </c>
      <c r="F43" s="9" t="s">
        <v>24</v>
      </c>
      <c r="G43" s="17" t="s">
        <v>25</v>
      </c>
      <c r="H43" s="17">
        <v>71</v>
      </c>
      <c r="I43" s="17">
        <v>4.6159999999999997</v>
      </c>
      <c r="J43" s="28">
        <v>57.03</v>
      </c>
      <c r="K43" s="28">
        <v>1127.95</v>
      </c>
      <c r="L43" s="15" t="s">
        <v>25</v>
      </c>
      <c r="M43" s="15">
        <v>150</v>
      </c>
      <c r="N43" s="15">
        <v>4.9550000000000001</v>
      </c>
      <c r="O43" s="15">
        <v>91.15</v>
      </c>
      <c r="P43" s="15">
        <v>1463.69</v>
      </c>
      <c r="Q43" s="15"/>
      <c r="R43" s="17">
        <v>11</v>
      </c>
      <c r="S43" s="17">
        <v>3.3740000000000001</v>
      </c>
      <c r="T43" s="28">
        <v>55.59</v>
      </c>
      <c r="U43" s="28">
        <v>186.54</v>
      </c>
      <c r="V43" s="42">
        <f t="shared" ref="V43:V60" si="6">K43/U43</f>
        <v>6.0466923984132093</v>
      </c>
      <c r="W43" s="15" t="s">
        <v>25</v>
      </c>
      <c r="X43" s="15">
        <v>150</v>
      </c>
      <c r="Y43" s="15">
        <v>4.9550000000000001</v>
      </c>
      <c r="Z43" s="15">
        <v>91.15</v>
      </c>
      <c r="AA43" s="15">
        <v>1463.69</v>
      </c>
      <c r="AB43" s="42">
        <f>K43/AA43</f>
        <v>0.77062082818083066</v>
      </c>
      <c r="AD43" s="84">
        <v>156</v>
      </c>
      <c r="AE43" s="84">
        <v>4939.28</v>
      </c>
      <c r="AF43" s="84">
        <v>96.11</v>
      </c>
      <c r="AG43" s="84">
        <v>1437.52</v>
      </c>
      <c r="AH43" s="42">
        <f t="shared" si="5"/>
        <v>0.78464995269631033</v>
      </c>
      <c r="AI43" s="27" t="s">
        <v>239</v>
      </c>
    </row>
    <row r="44" spans="1:35" ht="15.95">
      <c r="A44" t="s">
        <v>86</v>
      </c>
      <c r="B44"/>
      <c r="C44" s="54">
        <v>185</v>
      </c>
      <c r="D44" t="s">
        <v>181</v>
      </c>
      <c r="E44" s="9" t="s">
        <v>85</v>
      </c>
      <c r="F44" s="9" t="s">
        <v>24</v>
      </c>
      <c r="G44" s="17" t="s">
        <v>25</v>
      </c>
      <c r="H44" s="17">
        <v>546</v>
      </c>
      <c r="I44" s="17">
        <v>4.8760000000000003</v>
      </c>
      <c r="J44" s="28">
        <v>54.3</v>
      </c>
      <c r="K44" s="28">
        <v>9086.27</v>
      </c>
      <c r="L44" s="15" t="s">
        <v>25</v>
      </c>
      <c r="M44" s="15">
        <v>816</v>
      </c>
      <c r="N44" s="15">
        <v>4.6619999999999999</v>
      </c>
      <c r="O44" s="15">
        <v>98.94</v>
      </c>
      <c r="P44" s="15">
        <v>7352.74</v>
      </c>
      <c r="Q44" s="15"/>
      <c r="R44" s="17">
        <v>21</v>
      </c>
      <c r="S44" s="17">
        <v>0.876</v>
      </c>
      <c r="T44" s="28">
        <v>16.22</v>
      </c>
      <c r="U44" s="28">
        <v>1081.28</v>
      </c>
      <c r="V44" s="42">
        <f t="shared" si="6"/>
        <v>8.4032535513465536</v>
      </c>
      <c r="W44" s="15" t="s">
        <v>25</v>
      </c>
      <c r="X44" s="15">
        <v>816</v>
      </c>
      <c r="Y44" s="15">
        <v>4.6619999999999999</v>
      </c>
      <c r="Z44" s="15">
        <v>98.94</v>
      </c>
      <c r="AA44" s="15">
        <v>7352.74</v>
      </c>
      <c r="AB44" s="42">
        <f>K44/AA44</f>
        <v>1.2357665305722765</v>
      </c>
      <c r="AD44" s="57">
        <v>816</v>
      </c>
      <c r="AE44" s="57">
        <v>4839.4799999999996</v>
      </c>
      <c r="AF44" s="57">
        <v>94.5</v>
      </c>
      <c r="AG44" s="57">
        <v>7613.21</v>
      </c>
      <c r="AH44" s="42">
        <f t="shared" si="5"/>
        <v>1.1934873726062989</v>
      </c>
    </row>
    <row r="45" spans="1:35" ht="15.95">
      <c r="A45" t="s">
        <v>87</v>
      </c>
      <c r="B45"/>
      <c r="C45" s="54">
        <v>185</v>
      </c>
      <c r="D45" t="s">
        <v>183</v>
      </c>
      <c r="E45" s="9" t="s">
        <v>85</v>
      </c>
      <c r="F45" s="9" t="s">
        <v>24</v>
      </c>
      <c r="G45" s="17" t="s">
        <v>25</v>
      </c>
      <c r="H45" s="17">
        <v>121</v>
      </c>
      <c r="I45" s="17">
        <v>3.6240000000000001</v>
      </c>
      <c r="J45" s="28">
        <v>98.63</v>
      </c>
      <c r="K45" s="28">
        <v>1159.21</v>
      </c>
      <c r="L45" s="15" t="s">
        <v>25</v>
      </c>
      <c r="M45" s="15">
        <v>280</v>
      </c>
      <c r="N45" s="15">
        <v>3.9860000000000002</v>
      </c>
      <c r="O45" s="15">
        <v>99.8</v>
      </c>
      <c r="P45" s="15">
        <v>2409.3000000000002</v>
      </c>
      <c r="Q45" s="15"/>
      <c r="R45" s="17">
        <v>16</v>
      </c>
      <c r="S45" s="17">
        <v>1.8320000000000001</v>
      </c>
      <c r="T45" s="28">
        <v>71.36</v>
      </c>
      <c r="U45" s="28">
        <v>201.6</v>
      </c>
      <c r="V45" s="42">
        <f t="shared" si="6"/>
        <v>5.7500496031746033</v>
      </c>
      <c r="W45" s="15" t="s">
        <v>25</v>
      </c>
      <c r="X45" s="15">
        <v>280</v>
      </c>
      <c r="Y45" s="15">
        <v>3.9860000000000002</v>
      </c>
      <c r="Z45" s="15">
        <v>99.8</v>
      </c>
      <c r="AA45" s="15">
        <v>2409.3000000000002</v>
      </c>
      <c r="AB45" s="42">
        <f>K45/AA45</f>
        <v>0.48113975013489391</v>
      </c>
      <c r="AD45" s="57">
        <v>280</v>
      </c>
      <c r="AE45" s="58">
        <v>2541.41</v>
      </c>
      <c r="AF45" s="57">
        <v>3949.54</v>
      </c>
      <c r="AG45" s="58">
        <v>97.79</v>
      </c>
      <c r="AH45" s="42">
        <f t="shared" si="5"/>
        <v>11.854075058799468</v>
      </c>
    </row>
    <row r="46" spans="1:35" ht="15.95">
      <c r="A46" t="s">
        <v>88</v>
      </c>
      <c r="B46"/>
      <c r="C46" s="54">
        <v>185</v>
      </c>
      <c r="D46" t="s">
        <v>185</v>
      </c>
      <c r="E46" s="9" t="s">
        <v>85</v>
      </c>
      <c r="F46" s="9" t="s">
        <v>24</v>
      </c>
      <c r="G46" s="121" t="s">
        <v>128</v>
      </c>
      <c r="H46" s="121">
        <v>1</v>
      </c>
      <c r="I46" s="121">
        <v>4.13</v>
      </c>
      <c r="J46" s="122">
        <v>329</v>
      </c>
      <c r="K46" s="122">
        <v>3.01</v>
      </c>
      <c r="L46" s="23" t="s">
        <v>44</v>
      </c>
      <c r="M46" s="23">
        <v>1</v>
      </c>
      <c r="N46" s="23">
        <v>1.4850000000000001</v>
      </c>
      <c r="O46" s="23">
        <v>117.76</v>
      </c>
      <c r="P46" s="39">
        <v>8.4</v>
      </c>
      <c r="Q46" s="15"/>
      <c r="R46" s="121">
        <v>1</v>
      </c>
      <c r="S46" s="121">
        <v>4.7729999999999997</v>
      </c>
      <c r="T46" s="122">
        <v>351.26</v>
      </c>
      <c r="U46" s="122">
        <v>5.64</v>
      </c>
      <c r="V46" s="55">
        <f t="shared" si="6"/>
        <v>0.53368794326241131</v>
      </c>
      <c r="W46" s="23" t="s">
        <v>44</v>
      </c>
      <c r="X46" s="23">
        <v>1</v>
      </c>
      <c r="Y46" s="23">
        <v>1.4850000000000001</v>
      </c>
      <c r="Z46" s="23">
        <v>117.76</v>
      </c>
      <c r="AA46" s="39">
        <v>8.4</v>
      </c>
      <c r="AB46" s="42">
        <f>K46/AA46</f>
        <v>0.35833333333333328</v>
      </c>
      <c r="AD46" s="57">
        <v>1</v>
      </c>
      <c r="AE46" s="57">
        <v>3457.87</v>
      </c>
      <c r="AF46" s="57">
        <v>3457.87</v>
      </c>
      <c r="AG46" s="57">
        <v>3457.87</v>
      </c>
      <c r="AH46" s="42">
        <f t="shared" si="5"/>
        <v>8.7047806886898576E-4</v>
      </c>
    </row>
    <row r="47" spans="1:35" ht="15.95">
      <c r="A47" t="s">
        <v>219</v>
      </c>
      <c r="B47"/>
      <c r="C47" s="54">
        <v>185</v>
      </c>
      <c r="D47" t="s">
        <v>188</v>
      </c>
      <c r="E47" s="9" t="s">
        <v>85</v>
      </c>
      <c r="F47" s="9" t="s">
        <v>24</v>
      </c>
      <c r="G47" s="31" t="s">
        <v>148</v>
      </c>
      <c r="H47" s="31"/>
      <c r="I47" s="31"/>
      <c r="J47" s="32"/>
      <c r="K47" s="32"/>
      <c r="L47" s="15" t="s">
        <v>34</v>
      </c>
      <c r="M47" s="15">
        <v>2</v>
      </c>
      <c r="N47" s="15">
        <v>1.75</v>
      </c>
      <c r="O47" s="15">
        <v>85.35</v>
      </c>
      <c r="P47" s="15">
        <v>22.99</v>
      </c>
      <c r="Q47" s="15"/>
      <c r="R47" s="31"/>
      <c r="S47" s="31"/>
      <c r="T47" s="32"/>
      <c r="U47" s="32"/>
      <c r="V47" s="42"/>
      <c r="W47" s="15" t="s">
        <v>34</v>
      </c>
      <c r="X47" s="15">
        <v>2</v>
      </c>
      <c r="Y47" s="15">
        <v>1.75</v>
      </c>
      <c r="Z47" s="15">
        <v>85.35</v>
      </c>
      <c r="AA47" s="15">
        <v>22.99</v>
      </c>
      <c r="AB47" s="42"/>
      <c r="AD47" s="57" t="s">
        <v>240</v>
      </c>
      <c r="AE47" s="57"/>
      <c r="AF47" s="57"/>
      <c r="AG47" s="57"/>
      <c r="AH47" s="42" t="e">
        <f t="shared" si="5"/>
        <v>#N/A</v>
      </c>
    </row>
    <row r="48" spans="1:35" ht="15.95">
      <c r="A48" t="s">
        <v>220</v>
      </c>
      <c r="B48"/>
      <c r="C48" s="54">
        <v>185</v>
      </c>
      <c r="D48" t="s">
        <v>190</v>
      </c>
      <c r="E48" s="9" t="s">
        <v>85</v>
      </c>
      <c r="F48" s="9" t="s">
        <v>24</v>
      </c>
      <c r="G48" s="31" t="s">
        <v>148</v>
      </c>
      <c r="H48" s="31"/>
      <c r="I48" s="31"/>
      <c r="J48" s="32"/>
      <c r="K48" s="32"/>
      <c r="L48" s="15" t="s">
        <v>34</v>
      </c>
      <c r="M48" s="15">
        <v>2</v>
      </c>
      <c r="N48" s="15">
        <v>1.772</v>
      </c>
      <c r="O48" s="15">
        <v>84.69</v>
      </c>
      <c r="P48" s="15">
        <v>23.16</v>
      </c>
      <c r="Q48" s="15"/>
      <c r="R48" s="31"/>
      <c r="S48" s="31"/>
      <c r="T48" s="32"/>
      <c r="U48" s="32"/>
      <c r="V48" s="42"/>
      <c r="W48" s="15" t="s">
        <v>34</v>
      </c>
      <c r="X48" s="15">
        <v>2</v>
      </c>
      <c r="Y48" s="15">
        <v>1.772</v>
      </c>
      <c r="Z48" s="15">
        <v>84.69</v>
      </c>
      <c r="AA48" s="15">
        <v>23.16</v>
      </c>
      <c r="AB48" s="42"/>
      <c r="AD48" s="57" t="s">
        <v>240</v>
      </c>
      <c r="AE48" s="57"/>
      <c r="AF48" s="57"/>
      <c r="AG48" s="57"/>
      <c r="AH48" s="42" t="e">
        <f t="shared" si="5"/>
        <v>#N/A</v>
      </c>
    </row>
    <row r="49" spans="1:34" ht="15.95">
      <c r="A49" t="s">
        <v>191</v>
      </c>
      <c r="B49">
        <v>1</v>
      </c>
      <c r="C49" s="54">
        <v>185</v>
      </c>
      <c r="D49" t="s">
        <v>192</v>
      </c>
      <c r="E49" s="9" t="s">
        <v>85</v>
      </c>
      <c r="F49" s="9" t="s">
        <v>24</v>
      </c>
      <c r="G49" s="31" t="s">
        <v>148</v>
      </c>
      <c r="H49" s="31"/>
      <c r="I49" s="31"/>
      <c r="J49" s="32"/>
      <c r="K49" s="32"/>
      <c r="L49" s="15" t="s">
        <v>34</v>
      </c>
      <c r="M49" s="15">
        <v>4</v>
      </c>
      <c r="N49" s="15">
        <v>39.19</v>
      </c>
      <c r="O49" s="15">
        <v>2.1819999999999999</v>
      </c>
      <c r="P49" s="15">
        <v>100.02</v>
      </c>
      <c r="Q49" s="15"/>
      <c r="R49" s="31"/>
      <c r="S49" s="31"/>
      <c r="T49" s="32"/>
      <c r="U49" s="32"/>
      <c r="V49" s="42"/>
      <c r="W49" s="15" t="s">
        <v>34</v>
      </c>
      <c r="X49" s="15">
        <v>4</v>
      </c>
      <c r="Y49" s="15">
        <v>39.19</v>
      </c>
      <c r="Z49" s="15">
        <v>2.1819999999999999</v>
      </c>
      <c r="AA49" s="15">
        <v>100.02</v>
      </c>
      <c r="AB49" s="42"/>
      <c r="AD49" s="57" t="s">
        <v>227</v>
      </c>
      <c r="AE49" s="57"/>
      <c r="AF49" s="57"/>
      <c r="AG49" s="57"/>
      <c r="AH49" s="42" t="e">
        <f t="shared" si="5"/>
        <v>#N/A</v>
      </c>
    </row>
    <row r="50" spans="1:34" ht="15.95">
      <c r="A50" t="s">
        <v>193</v>
      </c>
      <c r="B50">
        <v>1</v>
      </c>
      <c r="C50" s="54">
        <v>185</v>
      </c>
      <c r="D50" t="s">
        <v>194</v>
      </c>
      <c r="E50" s="9" t="s">
        <v>85</v>
      </c>
      <c r="F50" s="9" t="s">
        <v>24</v>
      </c>
      <c r="G50" s="31" t="s">
        <v>148</v>
      </c>
      <c r="H50" s="31"/>
      <c r="I50" s="31"/>
      <c r="J50" s="32"/>
      <c r="K50" s="32"/>
      <c r="L50" s="15" t="s">
        <v>34</v>
      </c>
      <c r="M50" s="15">
        <v>13</v>
      </c>
      <c r="N50" s="15">
        <v>3.97</v>
      </c>
      <c r="O50" s="15">
        <v>94.92</v>
      </c>
      <c r="P50" s="15">
        <v>131.69</v>
      </c>
      <c r="Q50" s="15"/>
      <c r="R50" s="31"/>
      <c r="S50" s="31"/>
      <c r="T50" s="32"/>
      <c r="U50" s="32"/>
      <c r="V50" s="42"/>
      <c r="W50" s="15" t="s">
        <v>34</v>
      </c>
      <c r="X50" s="15">
        <v>13</v>
      </c>
      <c r="Y50" s="15">
        <v>3.97</v>
      </c>
      <c r="Z50" s="15">
        <v>94.92</v>
      </c>
      <c r="AA50" s="15">
        <v>131.69</v>
      </c>
      <c r="AB50" s="42"/>
      <c r="AD50" s="57" t="s">
        <v>227</v>
      </c>
      <c r="AE50" s="57"/>
      <c r="AF50" s="57"/>
      <c r="AG50" s="57"/>
      <c r="AH50" s="42" t="e">
        <f t="shared" si="5"/>
        <v>#N/A</v>
      </c>
    </row>
    <row r="51" spans="1:34" ht="15.95">
      <c r="A51" t="s">
        <v>89</v>
      </c>
      <c r="B51"/>
      <c r="C51" s="54">
        <v>185</v>
      </c>
      <c r="D51" t="s">
        <v>196</v>
      </c>
      <c r="E51" s="9" t="s">
        <v>85</v>
      </c>
      <c r="F51" s="9" t="s">
        <v>24</v>
      </c>
      <c r="G51" s="24" t="s">
        <v>128</v>
      </c>
      <c r="H51" s="24">
        <v>1</v>
      </c>
      <c r="I51" s="24">
        <v>1.8879999999999999</v>
      </c>
      <c r="J51" s="25">
        <v>166.56</v>
      </c>
      <c r="K51" s="25">
        <v>5.94</v>
      </c>
      <c r="L51" s="15" t="s">
        <v>44</v>
      </c>
      <c r="M51" s="15">
        <v>13</v>
      </c>
      <c r="N51" s="15">
        <v>4.8600000000000003</v>
      </c>
      <c r="O51" s="15">
        <v>82.32</v>
      </c>
      <c r="P51" s="15">
        <v>149.44</v>
      </c>
      <c r="Q51" s="15"/>
      <c r="R51" s="24">
        <v>1</v>
      </c>
      <c r="S51" s="24">
        <v>2.4990000000000001</v>
      </c>
      <c r="T51" s="25">
        <v>182451.31</v>
      </c>
      <c r="U51" s="25">
        <v>5.55</v>
      </c>
      <c r="V51" s="42">
        <f t="shared" si="6"/>
        <v>1.0702702702702704</v>
      </c>
      <c r="W51" s="15" t="s">
        <v>44</v>
      </c>
      <c r="X51" s="15">
        <v>13</v>
      </c>
      <c r="Y51" s="15">
        <v>4.8600000000000003</v>
      </c>
      <c r="Z51" s="15">
        <v>82.32</v>
      </c>
      <c r="AA51" s="15">
        <v>149.44</v>
      </c>
      <c r="AB51" s="42">
        <f>K51/AA51</f>
        <v>3.9748394004282657E-2</v>
      </c>
      <c r="AD51" s="57">
        <v>12</v>
      </c>
      <c r="AE51" s="58">
        <v>4938.93</v>
      </c>
      <c r="AF51" s="58">
        <v>79.680000000000007</v>
      </c>
      <c r="AG51" s="58">
        <v>142.12</v>
      </c>
      <c r="AH51" s="42">
        <f t="shared" si="5"/>
        <v>4.1795665634674926E-2</v>
      </c>
    </row>
    <row r="52" spans="1:34" ht="15.95">
      <c r="A52" t="s">
        <v>197</v>
      </c>
      <c r="B52"/>
      <c r="C52" s="54">
        <v>185</v>
      </c>
      <c r="D52" t="s">
        <v>198</v>
      </c>
      <c r="E52" s="9" t="s">
        <v>85</v>
      </c>
      <c r="F52" s="9" t="s">
        <v>24</v>
      </c>
      <c r="G52" s="31" t="s">
        <v>148</v>
      </c>
      <c r="H52" s="31"/>
      <c r="I52" s="31"/>
      <c r="J52" s="32"/>
      <c r="K52" s="32"/>
      <c r="L52" s="15" t="s">
        <v>34</v>
      </c>
      <c r="M52" s="15">
        <v>7</v>
      </c>
      <c r="N52" s="15">
        <v>3.2170000000000001</v>
      </c>
      <c r="O52" s="15">
        <v>98.01</v>
      </c>
      <c r="P52" s="15">
        <v>69.260000000000005</v>
      </c>
      <c r="Q52" s="15"/>
      <c r="R52" s="31"/>
      <c r="S52" s="31"/>
      <c r="T52" s="32"/>
      <c r="U52" s="32"/>
      <c r="V52" s="42"/>
      <c r="W52" s="15" t="s">
        <v>34</v>
      </c>
      <c r="X52" s="15">
        <v>7</v>
      </c>
      <c r="Y52" s="15">
        <v>3.2170000000000001</v>
      </c>
      <c r="Z52" s="15">
        <v>98.01</v>
      </c>
      <c r="AA52" s="15">
        <v>69.260000000000005</v>
      </c>
      <c r="AB52" s="42"/>
      <c r="AD52" s="57">
        <v>7</v>
      </c>
      <c r="AE52" s="57">
        <v>3559.2</v>
      </c>
      <c r="AF52" s="57">
        <v>98.52</v>
      </c>
      <c r="AG52" s="57">
        <v>68.69</v>
      </c>
      <c r="AH52" s="42">
        <f t="shared" si="5"/>
        <v>0</v>
      </c>
    </row>
    <row r="53" spans="1:34" ht="15.95">
      <c r="A53" t="s">
        <v>91</v>
      </c>
      <c r="B53"/>
      <c r="C53" s="54">
        <v>185</v>
      </c>
      <c r="D53" t="s">
        <v>199</v>
      </c>
      <c r="E53" s="9" t="s">
        <v>92</v>
      </c>
      <c r="F53" s="9" t="s">
        <v>24</v>
      </c>
      <c r="G53" s="28" t="s">
        <v>25</v>
      </c>
      <c r="H53" s="18">
        <v>46</v>
      </c>
      <c r="I53" s="18">
        <v>4.5190000000000001</v>
      </c>
      <c r="J53" s="19">
        <v>89.89</v>
      </c>
      <c r="K53" s="19">
        <v>476.09</v>
      </c>
      <c r="L53" s="15" t="s">
        <v>25</v>
      </c>
      <c r="M53" s="15">
        <v>68</v>
      </c>
      <c r="N53" s="15">
        <v>4.9989999999999997</v>
      </c>
      <c r="O53" s="15">
        <v>62.52</v>
      </c>
      <c r="P53" s="15">
        <v>932.95</v>
      </c>
      <c r="Q53" s="15" t="s">
        <v>140</v>
      </c>
      <c r="R53" s="18">
        <v>6</v>
      </c>
      <c r="S53" s="18">
        <v>3.1</v>
      </c>
      <c r="T53" s="19">
        <v>87.26</v>
      </c>
      <c r="U53" s="19">
        <v>66.44</v>
      </c>
      <c r="V53" s="42">
        <f t="shared" si="6"/>
        <v>7.1657134256472004</v>
      </c>
      <c r="W53" s="15" t="s">
        <v>25</v>
      </c>
      <c r="X53" s="15">
        <v>68</v>
      </c>
      <c r="Y53" s="15">
        <v>4.9989999999999997</v>
      </c>
      <c r="Z53" s="15">
        <v>62.52</v>
      </c>
      <c r="AA53" s="15">
        <v>932.95</v>
      </c>
      <c r="AB53" s="42">
        <f>K53/AA53</f>
        <v>0.51030601854333024</v>
      </c>
      <c r="AD53" s="57" t="s">
        <v>241</v>
      </c>
      <c r="AE53" s="57"/>
      <c r="AF53" s="57"/>
      <c r="AG53" s="57"/>
      <c r="AH53" s="42" t="e">
        <f t="shared" si="5"/>
        <v>#N/A</v>
      </c>
    </row>
    <row r="54" spans="1:34" ht="15.95">
      <c r="A54" t="s">
        <v>93</v>
      </c>
      <c r="B54"/>
      <c r="C54" s="54">
        <v>185</v>
      </c>
      <c r="D54" t="s">
        <v>200</v>
      </c>
      <c r="E54" s="9" t="s">
        <v>92</v>
      </c>
      <c r="F54" s="9" t="s">
        <v>24</v>
      </c>
      <c r="G54" s="28" t="s">
        <v>25</v>
      </c>
      <c r="H54" s="18">
        <v>336</v>
      </c>
      <c r="I54" s="17">
        <v>4.9729999999999999</v>
      </c>
      <c r="J54" s="19">
        <v>41.4</v>
      </c>
      <c r="K54" s="19">
        <v>7180.94</v>
      </c>
      <c r="L54" s="15" t="s">
        <v>25</v>
      </c>
      <c r="M54" s="15">
        <v>546</v>
      </c>
      <c r="N54" s="15">
        <v>4.9379999999999997</v>
      </c>
      <c r="O54" s="15">
        <v>72.599999999999994</v>
      </c>
      <c r="P54" s="15">
        <v>6233.22</v>
      </c>
      <c r="Q54" s="15" t="s">
        <v>140</v>
      </c>
      <c r="R54" s="18">
        <v>76</v>
      </c>
      <c r="S54" s="18">
        <v>1.331</v>
      </c>
      <c r="T54" s="19">
        <v>26.36</v>
      </c>
      <c r="U54" s="19">
        <v>2698.42</v>
      </c>
      <c r="V54" s="42">
        <f t="shared" si="6"/>
        <v>2.661164681554391</v>
      </c>
      <c r="W54" s="15" t="s">
        <v>25</v>
      </c>
      <c r="X54" s="15">
        <v>546</v>
      </c>
      <c r="Y54" s="15">
        <v>4.9379999999999997</v>
      </c>
      <c r="Z54" s="15">
        <v>72.599999999999994</v>
      </c>
      <c r="AA54" s="15">
        <v>6233.22</v>
      </c>
      <c r="AB54" s="42">
        <f>K54/AA54</f>
        <v>1.1520434061367959</v>
      </c>
      <c r="AD54" s="57"/>
      <c r="AE54" s="57"/>
      <c r="AF54" s="57"/>
      <c r="AG54" s="57"/>
      <c r="AH54" s="42" t="e">
        <f t="shared" si="5"/>
        <v>#N/A</v>
      </c>
    </row>
    <row r="55" spans="1:34" ht="15.95">
      <c r="A55" t="s">
        <v>94</v>
      </c>
      <c r="B55"/>
      <c r="C55" s="54">
        <v>185</v>
      </c>
      <c r="D55" t="s">
        <v>201</v>
      </c>
      <c r="E55" s="9" t="s">
        <v>92</v>
      </c>
      <c r="F55" s="9" t="s">
        <v>24</v>
      </c>
      <c r="G55" s="28" t="s">
        <v>25</v>
      </c>
      <c r="H55" s="17">
        <v>91</v>
      </c>
      <c r="I55" s="17">
        <v>4.7030000000000003</v>
      </c>
      <c r="J55" s="28">
        <v>99.7</v>
      </c>
      <c r="K55" s="28">
        <v>845.24</v>
      </c>
      <c r="L55" s="15" t="s">
        <v>25</v>
      </c>
      <c r="M55" s="15">
        <v>186</v>
      </c>
      <c r="N55" s="15">
        <v>4.93</v>
      </c>
      <c r="O55" s="15">
        <v>77.48</v>
      </c>
      <c r="P55" s="15">
        <v>2074.77</v>
      </c>
      <c r="Q55" s="15" t="s">
        <v>140</v>
      </c>
      <c r="R55" s="24">
        <v>1</v>
      </c>
      <c r="S55" s="24">
        <v>0.373</v>
      </c>
      <c r="T55" s="25">
        <v>121.37</v>
      </c>
      <c r="U55" s="25">
        <v>34.14</v>
      </c>
      <c r="V55" s="42">
        <f t="shared" si="6"/>
        <v>24.758055067369654</v>
      </c>
      <c r="W55" s="15" t="s">
        <v>25</v>
      </c>
      <c r="X55" s="15">
        <v>186</v>
      </c>
      <c r="Y55" s="15">
        <v>4.93</v>
      </c>
      <c r="Z55" s="15">
        <v>77.48</v>
      </c>
      <c r="AA55" s="15">
        <v>2074.77</v>
      </c>
      <c r="AB55" s="42">
        <f>K55/AA55</f>
        <v>0.40738973476578128</v>
      </c>
      <c r="AD55" s="57"/>
      <c r="AE55" s="57"/>
      <c r="AF55" s="57"/>
      <c r="AG55" s="57"/>
      <c r="AH55" s="42" t="e">
        <f t="shared" si="5"/>
        <v>#N/A</v>
      </c>
    </row>
    <row r="56" spans="1:34" ht="15.95">
      <c r="A56" t="s">
        <v>95</v>
      </c>
      <c r="B56"/>
      <c r="C56" s="54">
        <v>185</v>
      </c>
      <c r="D56" t="s">
        <v>202</v>
      </c>
      <c r="E56" s="9" t="s">
        <v>92</v>
      </c>
      <c r="F56" s="9" t="s">
        <v>24</v>
      </c>
      <c r="G56" s="25" t="s">
        <v>128</v>
      </c>
      <c r="H56" s="24">
        <v>1</v>
      </c>
      <c r="I56" s="24">
        <v>4.0250000000000004</v>
      </c>
      <c r="J56" s="25">
        <v>264.92</v>
      </c>
      <c r="K56" s="25">
        <v>3.72</v>
      </c>
      <c r="L56" s="15" t="s">
        <v>44</v>
      </c>
      <c r="M56" s="15">
        <v>6</v>
      </c>
      <c r="N56" s="15">
        <v>4.8559999999999999</v>
      </c>
      <c r="O56" s="15">
        <v>66.569999999999993</v>
      </c>
      <c r="P56" s="15">
        <v>84.2</v>
      </c>
      <c r="Q56" s="15" t="s">
        <v>140</v>
      </c>
      <c r="R56" s="24"/>
      <c r="S56" s="24" t="s">
        <v>203</v>
      </c>
      <c r="T56" s="25"/>
      <c r="U56" s="25"/>
      <c r="V56" s="42" t="e">
        <f t="shared" si="6"/>
        <v>#DIV/0!</v>
      </c>
      <c r="W56" s="15" t="s">
        <v>44</v>
      </c>
      <c r="X56" s="15">
        <v>6</v>
      </c>
      <c r="Y56" s="15">
        <v>4.8559999999999999</v>
      </c>
      <c r="Z56" s="15">
        <v>66.569999999999993</v>
      </c>
      <c r="AA56" s="15">
        <v>84.2</v>
      </c>
      <c r="AB56" s="42">
        <f>K56/AA56</f>
        <v>4.4180522565320665E-2</v>
      </c>
      <c r="AD56" s="57"/>
      <c r="AE56" s="57"/>
      <c r="AF56" s="57"/>
      <c r="AG56" s="57"/>
      <c r="AH56" s="42" t="e">
        <f t="shared" si="5"/>
        <v>#N/A</v>
      </c>
    </row>
    <row r="57" spans="1:34" ht="15.95">
      <c r="A57" t="s">
        <v>96</v>
      </c>
      <c r="B57"/>
      <c r="C57" s="54">
        <v>185</v>
      </c>
      <c r="D57" t="s">
        <v>204</v>
      </c>
      <c r="E57" s="9" t="s">
        <v>92</v>
      </c>
      <c r="F57" s="9" t="s">
        <v>24</v>
      </c>
      <c r="G57" s="25" t="s">
        <v>25</v>
      </c>
      <c r="H57" s="24">
        <v>1</v>
      </c>
      <c r="I57" s="24">
        <v>1.4410000000000001</v>
      </c>
      <c r="J57" s="25">
        <v>116.47</v>
      </c>
      <c r="K57" s="25">
        <v>8.49</v>
      </c>
      <c r="L57" s="15" t="s">
        <v>25</v>
      </c>
      <c r="M57" s="15">
        <v>32</v>
      </c>
      <c r="N57" s="15">
        <v>4.915</v>
      </c>
      <c r="O57" s="15">
        <v>77.760000000000005</v>
      </c>
      <c r="P57" s="15">
        <v>371.6</v>
      </c>
      <c r="Q57" s="15" t="s">
        <v>140</v>
      </c>
      <c r="R57" s="24">
        <v>1</v>
      </c>
      <c r="S57" s="24">
        <v>1.5269999999999999</v>
      </c>
      <c r="T57" s="25">
        <v>130.69</v>
      </c>
      <c r="U57" s="25">
        <v>15.15</v>
      </c>
      <c r="V57" s="55">
        <f t="shared" si="6"/>
        <v>0.56039603960396045</v>
      </c>
      <c r="W57" s="15" t="s">
        <v>25</v>
      </c>
      <c r="X57" s="15">
        <v>32</v>
      </c>
      <c r="Y57" s="15">
        <v>4.915</v>
      </c>
      <c r="Z57" s="15">
        <v>77.760000000000005</v>
      </c>
      <c r="AA57" s="15">
        <v>371.6</v>
      </c>
      <c r="AB57" s="42">
        <f>K57/AA57</f>
        <v>2.2847147470398278E-2</v>
      </c>
      <c r="AD57" s="57"/>
      <c r="AE57" s="57"/>
      <c r="AF57" s="57"/>
      <c r="AG57" s="57"/>
      <c r="AH57" s="42" t="e">
        <f t="shared" si="5"/>
        <v>#N/A</v>
      </c>
    </row>
    <row r="58" spans="1:34" ht="15.95">
      <c r="A58" t="s">
        <v>205</v>
      </c>
      <c r="B58"/>
      <c r="C58" s="54">
        <v>185</v>
      </c>
      <c r="D58" t="s">
        <v>206</v>
      </c>
      <c r="E58" s="9" t="s">
        <v>92</v>
      </c>
      <c r="F58" s="9" t="s">
        <v>24</v>
      </c>
      <c r="G58" s="32" t="s">
        <v>148</v>
      </c>
      <c r="H58" s="31"/>
      <c r="I58" s="31"/>
      <c r="J58" s="32"/>
      <c r="K58" s="32"/>
      <c r="L58" s="15" t="s">
        <v>44</v>
      </c>
      <c r="M58" s="15">
        <v>35</v>
      </c>
      <c r="N58" s="15">
        <v>4.9989999999999997</v>
      </c>
      <c r="O58" s="15">
        <v>69.37</v>
      </c>
      <c r="P58" s="15">
        <v>471.72</v>
      </c>
      <c r="Q58" s="15"/>
      <c r="R58" s="31"/>
      <c r="S58" s="31"/>
      <c r="T58" s="32"/>
      <c r="U58" s="32"/>
      <c r="V58" s="42"/>
      <c r="W58" s="15" t="s">
        <v>44</v>
      </c>
      <c r="X58" s="15">
        <v>35</v>
      </c>
      <c r="Y58" s="15">
        <v>4.9989999999999997</v>
      </c>
      <c r="Z58" s="15">
        <v>69.37</v>
      </c>
      <c r="AA58" s="15">
        <v>471.72</v>
      </c>
      <c r="AB58" s="42"/>
      <c r="AD58" s="57"/>
      <c r="AE58" s="57"/>
      <c r="AF58" s="57"/>
      <c r="AG58" s="57"/>
      <c r="AH58" s="42" t="e">
        <f t="shared" si="5"/>
        <v>#N/A</v>
      </c>
    </row>
    <row r="59" spans="1:34" ht="15.95">
      <c r="A59" t="s">
        <v>207</v>
      </c>
      <c r="B59"/>
      <c r="C59" s="54">
        <v>185</v>
      </c>
      <c r="D59" t="s">
        <v>208</v>
      </c>
      <c r="E59" s="9" t="s">
        <v>92</v>
      </c>
      <c r="F59" s="9" t="s">
        <v>24</v>
      </c>
      <c r="G59" s="32" t="s">
        <v>148</v>
      </c>
      <c r="H59" s="31"/>
      <c r="I59" s="31"/>
      <c r="J59" s="32"/>
      <c r="K59" s="32"/>
      <c r="L59" s="15" t="s">
        <v>44</v>
      </c>
      <c r="M59" s="15">
        <v>20</v>
      </c>
      <c r="N59" s="15">
        <v>4.8860000000000001</v>
      </c>
      <c r="O59" s="15">
        <v>93.44</v>
      </c>
      <c r="P59" s="15">
        <v>203.81</v>
      </c>
      <c r="Q59" s="15"/>
      <c r="R59" s="31"/>
      <c r="S59" s="31"/>
      <c r="T59" s="32"/>
      <c r="U59" s="32"/>
      <c r="V59" s="42"/>
      <c r="W59" s="15" t="s">
        <v>44</v>
      </c>
      <c r="X59" s="15">
        <v>20</v>
      </c>
      <c r="Y59" s="15">
        <v>4.8860000000000001</v>
      </c>
      <c r="Z59" s="15">
        <v>93.44</v>
      </c>
      <c r="AA59" s="15">
        <v>203.81</v>
      </c>
      <c r="AB59" s="42"/>
      <c r="AD59" s="57"/>
      <c r="AE59" s="57"/>
      <c r="AF59" s="57"/>
      <c r="AG59" s="57"/>
      <c r="AH59" s="42" t="e">
        <f t="shared" si="5"/>
        <v>#N/A</v>
      </c>
    </row>
    <row r="60" spans="1:34" ht="15.95">
      <c r="A60" t="s">
        <v>97</v>
      </c>
      <c r="B60"/>
      <c r="C60" s="54">
        <v>185</v>
      </c>
      <c r="D60" t="s">
        <v>209</v>
      </c>
      <c r="E60" s="9" t="s">
        <v>92</v>
      </c>
      <c r="F60" s="9" t="s">
        <v>24</v>
      </c>
      <c r="G60" s="28" t="s">
        <v>25</v>
      </c>
      <c r="H60" s="18">
        <v>46</v>
      </c>
      <c r="I60" s="18">
        <v>4.5940000000000003</v>
      </c>
      <c r="J60" s="19">
        <v>86.26</v>
      </c>
      <c r="K60" s="19">
        <v>492.75</v>
      </c>
      <c r="L60" s="15" t="s">
        <v>25</v>
      </c>
      <c r="M60" s="15">
        <v>66</v>
      </c>
      <c r="N60" s="15">
        <v>4.9400000000000004</v>
      </c>
      <c r="O60" s="15">
        <v>58.03</v>
      </c>
      <c r="P60" s="15">
        <v>977.72</v>
      </c>
      <c r="Q60" s="15" t="s">
        <v>140</v>
      </c>
      <c r="R60" s="18">
        <v>11</v>
      </c>
      <c r="S60" s="18">
        <v>3.972</v>
      </c>
      <c r="T60" s="19">
        <v>91.27</v>
      </c>
      <c r="U60" s="19">
        <v>112.27</v>
      </c>
      <c r="V60" s="42">
        <f t="shared" si="6"/>
        <v>4.3889730114901582</v>
      </c>
      <c r="W60" s="15" t="s">
        <v>25</v>
      </c>
      <c r="X60" s="15">
        <v>66</v>
      </c>
      <c r="Y60" s="15">
        <v>4.9400000000000004</v>
      </c>
      <c r="Z60" s="15">
        <v>58.03</v>
      </c>
      <c r="AA60" s="15">
        <v>977.72</v>
      </c>
      <c r="AB60" s="42">
        <f>K60/AA60</f>
        <v>0.5039786441926114</v>
      </c>
      <c r="AD60" s="57"/>
      <c r="AE60" s="57"/>
      <c r="AF60" s="57"/>
      <c r="AG60" s="57"/>
      <c r="AH60" s="42" t="e">
        <f t="shared" si="5"/>
        <v>#N/A</v>
      </c>
    </row>
    <row r="61" spans="1:34" ht="15.75" customHeight="1">
      <c r="A61"/>
      <c r="B61"/>
      <c r="C61"/>
      <c r="D61"/>
    </row>
    <row r="63" spans="1:34" ht="15.75" customHeight="1">
      <c r="I63" s="9" t="s">
        <v>221</v>
      </c>
    </row>
    <row r="65" spans="1:1" ht="15.75" customHeight="1">
      <c r="A65" s="7" t="s">
        <v>210</v>
      </c>
    </row>
  </sheetData>
  <mergeCells count="8">
    <mergeCell ref="AD3:AG3"/>
    <mergeCell ref="W3:Z3"/>
    <mergeCell ref="H1:K2"/>
    <mergeCell ref="L1:Q2"/>
    <mergeCell ref="A3:A4"/>
    <mergeCell ref="G3:K3"/>
    <mergeCell ref="L3:O3"/>
    <mergeCell ref="R3:U3"/>
  </mergeCells>
  <hyperlinks>
    <hyperlink ref="Q4" r:id="rId1" display="https://jira.devtools.intel.com/browse/SGLANGT-496" xr:uid="{9CE6B908-5DDD-4BA4-A415-C014A557396E}"/>
    <hyperlink ref="AI8" r:id="rId2" xr:uid="{B29CE940-A136-4EA3-B569-952379A4EAF3}"/>
    <hyperlink ref="AI6" r:id="rId3" xr:uid="{42874F9E-BCB7-4E03-8028-6D4E4E24AEC5}"/>
    <hyperlink ref="AI18" r:id="rId4" xr:uid="{3CE20782-17A2-4DDE-8B9A-56DAD0260CE3}"/>
    <hyperlink ref="AI27" r:id="rId5" xr:uid="{172FD79E-9804-4FEA-9449-604F164FC443}"/>
    <hyperlink ref="AI28" r:id="rId6" xr:uid="{867614EA-1BC8-4AB9-96CE-987172A3E4F3}"/>
    <hyperlink ref="AI30" r:id="rId7" xr:uid="{328A15CF-96C2-41D5-B389-1F0135036AC7}"/>
    <hyperlink ref="AI43" r:id="rId8" xr:uid="{52B8D8DA-C306-4E2D-8C6B-F2D1E3EC81BD}"/>
  </hyperlinks>
  <pageMargins left="0.7" right="0.7" top="0.75" bottom="0.75" header="0.3" footer="0.3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E498-4453-4657-9B38-89DCBDA74846}">
  <dimension ref="A1:AD55"/>
  <sheetViews>
    <sheetView zoomScale="71" zoomScaleNormal="71" workbookViewId="0">
      <selection activeCell="AD10" sqref="AD10"/>
    </sheetView>
  </sheetViews>
  <sheetFormatPr defaultColWidth="11" defaultRowHeight="15.75" customHeight="1"/>
  <cols>
    <col min="1" max="1" width="48.125" style="7" customWidth="1"/>
    <col min="2" max="2" width="30.625" style="9" customWidth="1"/>
    <col min="3" max="3" width="9.875" style="9" customWidth="1"/>
    <col min="4" max="4" width="57.25" style="7" customWidth="1"/>
    <col min="5" max="5" width="13.75" style="9" customWidth="1"/>
    <col min="6" max="6" width="15.375" style="9" customWidth="1"/>
    <col min="7" max="7" width="13" style="9" customWidth="1"/>
    <col min="8" max="8" width="11.125" style="9" customWidth="1"/>
    <col min="9" max="9" width="23.375" style="9" customWidth="1"/>
    <col min="10" max="11" width="14.625" style="9" customWidth="1"/>
    <col min="12" max="12" width="11" style="9" customWidth="1"/>
    <col min="13" max="13" width="11.625" style="9" customWidth="1"/>
    <col min="14" max="15" width="11" style="9" customWidth="1"/>
    <col min="16" max="16" width="16.875" style="9" customWidth="1"/>
    <col min="17" max="17" width="38.125" style="9" customWidth="1"/>
    <col min="18" max="20" width="9" style="9" customWidth="1"/>
    <col min="21" max="21" width="16.25" style="9" customWidth="1"/>
    <col min="22" max="22" width="28.25" style="9" customWidth="1"/>
    <col min="23" max="27" width="9" style="9" bestFit="1" customWidth="1"/>
    <col min="28" max="28" width="23.625" style="9" bestFit="1" customWidth="1"/>
    <col min="29" max="16384" width="11" style="9"/>
  </cols>
  <sheetData>
    <row r="1" spans="1:30" ht="38.25" customHeight="1">
      <c r="A1" s="6" t="s">
        <v>103</v>
      </c>
      <c r="B1" s="14"/>
      <c r="E1" s="9" t="s">
        <v>104</v>
      </c>
      <c r="F1" s="9" t="s">
        <v>105</v>
      </c>
      <c r="G1" s="9" t="s">
        <v>106</v>
      </c>
      <c r="H1" s="257" t="s">
        <v>107</v>
      </c>
      <c r="I1" s="257"/>
      <c r="J1" s="257"/>
      <c r="K1" s="257"/>
      <c r="L1" s="257" t="s">
        <v>108</v>
      </c>
      <c r="M1" s="257"/>
      <c r="N1" s="257"/>
      <c r="O1" s="257"/>
      <c r="P1" s="257"/>
      <c r="Q1" s="257"/>
    </row>
    <row r="2" spans="1:30" ht="65.25" customHeight="1">
      <c r="H2" s="257"/>
      <c r="I2" s="257"/>
      <c r="J2" s="257"/>
      <c r="K2" s="257"/>
      <c r="L2" s="257"/>
      <c r="M2" s="257"/>
      <c r="N2" s="257"/>
      <c r="O2" s="257"/>
      <c r="P2" s="257"/>
      <c r="Q2" s="257"/>
    </row>
    <row r="3" spans="1:30" ht="15.75" customHeight="1">
      <c r="A3" s="264" t="s">
        <v>6</v>
      </c>
      <c r="B3" s="51"/>
      <c r="C3" s="51"/>
      <c r="D3" s="45"/>
      <c r="G3" s="259" t="s">
        <v>109</v>
      </c>
      <c r="H3" s="259"/>
      <c r="I3" s="259"/>
      <c r="J3" s="259"/>
      <c r="K3" s="259"/>
      <c r="L3" s="263" t="s">
        <v>110</v>
      </c>
      <c r="M3" s="263"/>
      <c r="N3" s="263"/>
      <c r="O3" s="263"/>
      <c r="P3" s="52"/>
      <c r="Q3" s="15"/>
      <c r="R3" s="259" t="s">
        <v>211</v>
      </c>
      <c r="S3" s="259"/>
      <c r="T3" s="259"/>
      <c r="U3" s="259"/>
      <c r="W3" s="263" t="s">
        <v>110</v>
      </c>
      <c r="X3" s="263"/>
      <c r="Y3" s="263"/>
      <c r="Z3" s="263"/>
      <c r="AA3" s="52"/>
    </row>
    <row r="4" spans="1:30" ht="15.75" customHeight="1">
      <c r="A4" s="264"/>
      <c r="B4" s="51"/>
      <c r="C4" s="14" t="s">
        <v>111</v>
      </c>
      <c r="D4" s="6" t="s">
        <v>112</v>
      </c>
      <c r="E4" s="51" t="s">
        <v>113</v>
      </c>
      <c r="F4" s="51" t="s">
        <v>9</v>
      </c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52" t="s">
        <v>10</v>
      </c>
      <c r="M4" s="52" t="s">
        <v>11</v>
      </c>
      <c r="N4" s="52" t="s">
        <v>12</v>
      </c>
      <c r="O4" s="52" t="s">
        <v>13</v>
      </c>
      <c r="P4" s="52" t="s">
        <v>114</v>
      </c>
      <c r="Q4" s="16" t="s">
        <v>115</v>
      </c>
      <c r="R4" s="2" t="s">
        <v>11</v>
      </c>
      <c r="S4" s="2" t="s">
        <v>12</v>
      </c>
      <c r="T4" s="3" t="s">
        <v>13</v>
      </c>
      <c r="U4" s="3" t="s">
        <v>114</v>
      </c>
      <c r="V4" s="3" t="s">
        <v>212</v>
      </c>
      <c r="W4" s="52" t="s">
        <v>10</v>
      </c>
      <c r="X4" s="52" t="s">
        <v>11</v>
      </c>
      <c r="Y4" s="52" t="s">
        <v>12</v>
      </c>
      <c r="Z4" s="52" t="s">
        <v>13</v>
      </c>
      <c r="AA4" s="52" t="s">
        <v>114</v>
      </c>
      <c r="AB4" s="9" t="s">
        <v>213</v>
      </c>
      <c r="AC4" s="9" t="s">
        <v>242</v>
      </c>
      <c r="AD4" s="9" t="s">
        <v>19</v>
      </c>
    </row>
    <row r="5" spans="1:30" ht="15.75" customHeight="1">
      <c r="A5" s="45"/>
      <c r="B5" s="51"/>
      <c r="E5" s="51" t="s">
        <v>116</v>
      </c>
      <c r="F5" s="51" t="s">
        <v>117</v>
      </c>
      <c r="G5" s="2"/>
      <c r="H5" s="2"/>
      <c r="I5" s="2"/>
      <c r="J5" s="3"/>
      <c r="K5" s="3"/>
      <c r="L5" s="15"/>
      <c r="M5" s="52"/>
      <c r="N5" s="52"/>
      <c r="O5" s="52"/>
      <c r="P5" s="52"/>
      <c r="Q5" s="15"/>
      <c r="R5" s="2"/>
      <c r="S5" s="2"/>
      <c r="T5" s="3"/>
      <c r="U5" s="3"/>
      <c r="W5" s="15"/>
      <c r="X5" s="52"/>
      <c r="Y5" s="52"/>
      <c r="Z5" s="52"/>
      <c r="AA5" s="52"/>
    </row>
    <row r="6" spans="1:30" ht="15.75" customHeight="1">
      <c r="A6" s="85" t="s">
        <v>22</v>
      </c>
      <c r="C6" s="86">
        <v>185</v>
      </c>
      <c r="D6" t="s">
        <v>118</v>
      </c>
      <c r="E6" s="9" cm="1">
        <f t="array" ref="E6">_xlfn.LET(
_xlpm.x,LOWER(A6),
_xlpm.parts,_xlfn.TEXTSPLIT(_xlpm.x,"-"),
VALUE(_xlfn.TEXTBEFORE(INDEX(_xlfn._xlws.FILTER(_xlpm.parts,ISNUMBER(SEARCH("b",_xlpm.parts))),1),"b"))
)</f>
        <v>8</v>
      </c>
      <c r="F6" s="86" t="s">
        <v>24</v>
      </c>
      <c r="G6" s="88" t="str">
        <f>IF(E6&lt;10,"DP6",IF(E6&lt;=30,"TP2DP2","TP4"))</f>
        <v>DP6</v>
      </c>
      <c r="H6" s="89">
        <v>46</v>
      </c>
      <c r="I6" s="89">
        <v>4.7850000000000001</v>
      </c>
      <c r="J6" s="90">
        <v>86.03</v>
      </c>
      <c r="K6" s="90">
        <v>501.76</v>
      </c>
      <c r="L6" s="15" t="s">
        <v>25</v>
      </c>
      <c r="M6" s="15">
        <v>63</v>
      </c>
      <c r="N6" s="15">
        <v>4.9889999999999999</v>
      </c>
      <c r="O6" s="15">
        <v>95.25</v>
      </c>
      <c r="P6" s="15">
        <v>611.57000000000005</v>
      </c>
      <c r="Q6" s="15"/>
      <c r="R6" s="18">
        <v>11</v>
      </c>
      <c r="S6" s="18">
        <v>4.7469999999999999</v>
      </c>
      <c r="T6" s="19">
        <v>85.42</v>
      </c>
      <c r="U6" s="19">
        <v>119.54</v>
      </c>
      <c r="V6" s="42">
        <f t="shared" ref="V6:V32" si="0">K6/U6</f>
        <v>4.1974234565835697</v>
      </c>
      <c r="W6" s="61" t="s">
        <v>25</v>
      </c>
      <c r="X6" s="61">
        <v>63</v>
      </c>
      <c r="Y6" s="61">
        <v>4885.2299999999996</v>
      </c>
      <c r="Z6" s="61">
        <v>95.4</v>
      </c>
      <c r="AA6" s="61">
        <v>645.95000000000005</v>
      </c>
      <c r="AB6" s="42">
        <f t="shared" ref="AB6:AB23" si="1">K6/AA6</f>
        <v>0.77677838842015634</v>
      </c>
    </row>
    <row r="7" spans="1:30" ht="15.75" customHeight="1">
      <c r="A7" s="85" t="s">
        <v>29</v>
      </c>
      <c r="C7" s="86">
        <v>185</v>
      </c>
      <c r="D7" t="s">
        <v>119</v>
      </c>
      <c r="E7" s="9" cm="1">
        <f t="array" ref="E7">_xlfn.LET(
_xlpm.x,LOWER(A7),
_xlpm.parts,_xlfn.TEXTSPLIT(_xlpm.x,"-"),
VALUE(_xlfn.TEXTBEFORE(INDEX(_xlfn._xlws.FILTER(_xlpm.parts,ISNUMBER(SEARCH("b",_xlpm.parts))),1),"b"))
)</f>
        <v>1</v>
      </c>
      <c r="F7" s="86" t="s">
        <v>24</v>
      </c>
      <c r="G7" s="88" t="str">
        <f>IF(E7&lt;10,"DP6",IF(E7&lt;=30,"TP2DP2","TP4"))</f>
        <v>DP6</v>
      </c>
      <c r="H7" s="89">
        <v>536</v>
      </c>
      <c r="I7" s="89">
        <v>4.9390000000000001</v>
      </c>
      <c r="J7" s="90">
        <v>57.29</v>
      </c>
      <c r="K7" s="90">
        <v>8501.11</v>
      </c>
      <c r="L7" s="15" t="s">
        <v>25</v>
      </c>
      <c r="M7" s="15">
        <v>546</v>
      </c>
      <c r="N7" s="15">
        <v>4.9109999999999996</v>
      </c>
      <c r="O7" s="15">
        <v>80.2</v>
      </c>
      <c r="P7" s="15">
        <v>5932.79</v>
      </c>
      <c r="Q7" s="15"/>
      <c r="R7" s="18">
        <v>31</v>
      </c>
      <c r="S7" s="18">
        <v>1.8080000000000001</v>
      </c>
      <c r="T7" s="19">
        <v>27.97</v>
      </c>
      <c r="U7" s="19">
        <v>973.71</v>
      </c>
      <c r="V7" s="42">
        <f t="shared" si="0"/>
        <v>8.7306384857914576</v>
      </c>
      <c r="W7" s="61" t="s">
        <v>25</v>
      </c>
      <c r="X7" s="61">
        <v>555</v>
      </c>
      <c r="Y7" s="61">
        <v>4859.08</v>
      </c>
      <c r="Z7" s="61">
        <v>82.11</v>
      </c>
      <c r="AA7" s="61">
        <v>6048.39</v>
      </c>
      <c r="AB7" s="42">
        <f t="shared" si="1"/>
        <v>1.4055161786855677</v>
      </c>
    </row>
    <row r="8" spans="1:30" ht="15.75" customHeight="1">
      <c r="A8" s="85" t="s">
        <v>30</v>
      </c>
      <c r="C8" s="86">
        <v>185</v>
      </c>
      <c r="D8" t="s">
        <v>120</v>
      </c>
      <c r="E8" s="9" cm="1">
        <f t="array" ref="E8">_xlfn.LET(
_xlpm.x,LOWER(A8),
_xlpm.parts,_xlfn.TEXTSPLIT(_xlpm.x,"-"),
VALUE(_xlfn.TEXTBEFORE(INDEX(_xlfn._xlws.FILTER(_xlpm.parts,ISNUMBER(SEARCH("b",_xlpm.parts))),1),"b"))
)</f>
        <v>3</v>
      </c>
      <c r="F8" s="86" t="s">
        <v>24</v>
      </c>
      <c r="G8" s="88" t="str">
        <f>IF(E8&lt;10,"DP6",IF(E8&lt;=30,"TP2DP2","TP4"))</f>
        <v>DP6</v>
      </c>
      <c r="H8" s="89">
        <v>96</v>
      </c>
      <c r="I8" s="89">
        <v>3.883</v>
      </c>
      <c r="J8" s="90">
        <v>98.55</v>
      </c>
      <c r="K8" s="90">
        <v>916.83</v>
      </c>
      <c r="L8" s="15" t="s">
        <v>25</v>
      </c>
      <c r="M8" s="15">
        <v>194</v>
      </c>
      <c r="N8" s="15">
        <v>4.9800000000000004</v>
      </c>
      <c r="O8" s="15">
        <v>90.76</v>
      </c>
      <c r="P8" s="15">
        <v>1897</v>
      </c>
      <c r="Q8" s="15"/>
      <c r="R8" s="18">
        <v>1</v>
      </c>
      <c r="S8" s="18">
        <v>0.38400000000000001</v>
      </c>
      <c r="T8" s="19">
        <v>73.42</v>
      </c>
      <c r="U8" s="19">
        <v>13.52</v>
      </c>
      <c r="V8" s="42">
        <f t="shared" si="0"/>
        <v>67.812869822485212</v>
      </c>
      <c r="W8" s="61" t="s">
        <v>25</v>
      </c>
      <c r="X8" s="61">
        <v>200</v>
      </c>
      <c r="Y8" s="61">
        <v>4937.9799999999996</v>
      </c>
      <c r="Z8" s="61">
        <v>94.13</v>
      </c>
      <c r="AA8" s="61">
        <v>1917.47</v>
      </c>
      <c r="AB8" s="42">
        <f t="shared" si="1"/>
        <v>0.47814568154912462</v>
      </c>
    </row>
    <row r="9" spans="1:30" ht="15.75" customHeight="1">
      <c r="A9" s="85" t="s">
        <v>31</v>
      </c>
      <c r="B9" s="85"/>
      <c r="C9" s="85" t="s">
        <v>125</v>
      </c>
      <c r="D9" s="85" t="s">
        <v>243</v>
      </c>
      <c r="E9" s="54" cm="1">
        <f t="array" ref="E9">_xlfn.LET(
_xlpm.x,LOWER(A9),
_xlpm.parts,_xlfn.TEXTSPLIT(_xlpm.x,"-"),
VALUE(_xlfn.TEXTBEFORE(INDEX(_xlfn._xlws.FILTER(_xlpm.parts,ISNUMBER(SEARCH("b",_xlpm.parts))),1),"b"))
)</f>
        <v>70</v>
      </c>
      <c r="F9" s="54" t="s">
        <v>24</v>
      </c>
      <c r="G9" s="17" t="str">
        <f>IF(E9&lt;10,"DP6",IF(E9&lt;=30,"TP2DP2","TP4"))</f>
        <v>TP4</v>
      </c>
      <c r="H9" s="24">
        <v>1</v>
      </c>
      <c r="I9" s="97">
        <v>2.0529999999999999</v>
      </c>
      <c r="J9" s="97">
        <v>165.27</v>
      </c>
      <c r="K9" s="97">
        <v>5.98</v>
      </c>
      <c r="L9" s="23" t="s">
        <v>34</v>
      </c>
      <c r="M9" s="23">
        <v>1</v>
      </c>
      <c r="N9" s="23">
        <v>1.6579999999999999</v>
      </c>
      <c r="O9" s="23">
        <v>122.72</v>
      </c>
      <c r="P9" s="23">
        <v>8.0500000000000007</v>
      </c>
      <c r="Q9" s="15"/>
      <c r="R9" s="20">
        <v>1</v>
      </c>
      <c r="S9" s="21">
        <v>6.726</v>
      </c>
      <c r="T9" s="21">
        <v>604.42999999999995</v>
      </c>
      <c r="U9" s="22">
        <v>3.27</v>
      </c>
      <c r="V9" s="42">
        <f t="shared" si="0"/>
        <v>1.8287461773700306</v>
      </c>
      <c r="W9" s="61" t="s">
        <v>34</v>
      </c>
      <c r="X9" s="61">
        <v>1</v>
      </c>
      <c r="Y9" s="61">
        <v>1693.11</v>
      </c>
      <c r="Z9" s="61">
        <v>123.14</v>
      </c>
      <c r="AA9" s="61">
        <v>8.02</v>
      </c>
      <c r="AB9" s="42">
        <f t="shared" si="1"/>
        <v>0.74563591022443898</v>
      </c>
      <c r="AC9" s="27" t="s">
        <v>244</v>
      </c>
    </row>
    <row r="10" spans="1:30" ht="15.95">
      <c r="A10" s="10" t="s">
        <v>36</v>
      </c>
      <c r="C10" s="9">
        <v>185</v>
      </c>
      <c r="D10" t="s">
        <v>243</v>
      </c>
      <c r="E10" s="9" cm="1">
        <f t="array" ref="E10">_xlfn.LET(
_xlpm.x,LOWER(A10),
_xlpm.parts,_xlfn.TEXTSPLIT(_xlpm.x,"-"),
VALUE(_xlfn.TEXTBEFORE(INDEX(_xlfn._xlws.FILTER(_xlpm.parts,ISNUMBER(SEARCH("b",_xlpm.parts))),1),"b"))
)</f>
        <v>17</v>
      </c>
      <c r="F10" s="9" t="s">
        <v>24</v>
      </c>
      <c r="G10" s="34" t="str">
        <f>IF(E10&lt;10,"DP6",IF(E10&lt;=30,"TP2DP2","TP4"))</f>
        <v>TP2DP2</v>
      </c>
      <c r="H10" s="99">
        <v>1</v>
      </c>
      <c r="I10" s="99">
        <v>1.742</v>
      </c>
      <c r="J10" s="100">
        <v>181.02</v>
      </c>
      <c r="K10" s="100">
        <v>5.48</v>
      </c>
      <c r="L10" s="24" t="s">
        <v>34</v>
      </c>
      <c r="M10" s="24">
        <v>2</v>
      </c>
      <c r="N10" s="24">
        <v>1.2949999999999999</v>
      </c>
      <c r="O10" s="24">
        <v>97.04</v>
      </c>
      <c r="P10" s="24">
        <v>20.36</v>
      </c>
      <c r="Q10" s="24"/>
      <c r="R10" s="24"/>
      <c r="S10" s="24" t="s">
        <v>124</v>
      </c>
      <c r="T10" s="25"/>
      <c r="U10" s="25"/>
      <c r="V10" s="42" t="e">
        <f t="shared" si="0"/>
        <v>#DIV/0!</v>
      </c>
      <c r="W10" s="62" t="s">
        <v>34</v>
      </c>
      <c r="X10" s="62">
        <v>2</v>
      </c>
      <c r="Y10" s="62">
        <v>1.2949999999999999</v>
      </c>
      <c r="Z10" s="62">
        <v>97.04</v>
      </c>
      <c r="AA10" s="62">
        <v>20.36</v>
      </c>
      <c r="AB10" s="42">
        <f t="shared" si="1"/>
        <v>0.26915520628683698</v>
      </c>
      <c r="AC10" s="27" t="s">
        <v>245</v>
      </c>
      <c r="AD10" s="9" t="s">
        <v>56</v>
      </c>
    </row>
    <row r="11" spans="1:30" ht="30" customHeight="1">
      <c r="A11" s="110" t="s">
        <v>40</v>
      </c>
      <c r="B11"/>
      <c r="C11" s="54" t="s">
        <v>125</v>
      </c>
      <c r="D11" t="s">
        <v>246</v>
      </c>
      <c r="E11" s="54" t="s">
        <v>24</v>
      </c>
      <c r="F11" s="54" t="s">
        <v>24</v>
      </c>
      <c r="G11" s="87" t="s">
        <v>43</v>
      </c>
      <c r="H11" s="111"/>
      <c r="I11" s="111"/>
      <c r="J11" s="111"/>
      <c r="K11" s="111"/>
      <c r="L11" s="65" t="s">
        <v>34</v>
      </c>
      <c r="M11" s="24">
        <v>8</v>
      </c>
      <c r="N11" s="24">
        <v>3.7770000000000001</v>
      </c>
      <c r="O11" s="24">
        <v>98.87</v>
      </c>
      <c r="P11" s="24">
        <v>78.069999999999993</v>
      </c>
      <c r="Q11" s="24"/>
      <c r="R11" s="24"/>
      <c r="S11" s="24" t="s">
        <v>124</v>
      </c>
      <c r="T11" s="25"/>
      <c r="U11" s="25"/>
      <c r="V11" s="42" t="e">
        <f t="shared" si="0"/>
        <v>#DIV/0!</v>
      </c>
      <c r="W11" s="62" t="s">
        <v>34</v>
      </c>
      <c r="X11" s="62">
        <v>8</v>
      </c>
      <c r="Y11" s="62">
        <v>3.7770000000000001</v>
      </c>
      <c r="Z11" s="62">
        <v>98.87</v>
      </c>
      <c r="AA11" s="62">
        <v>78.069999999999993</v>
      </c>
      <c r="AB11" s="42">
        <f t="shared" si="1"/>
        <v>0</v>
      </c>
      <c r="AC11" s="27" t="s">
        <v>247</v>
      </c>
    </row>
    <row r="12" spans="1:30" ht="15.75" customHeight="1">
      <c r="A12" s="85" t="s">
        <v>42</v>
      </c>
      <c r="B12" s="85"/>
      <c r="C12" s="85" t="s">
        <v>125</v>
      </c>
      <c r="D12" s="85" t="s">
        <v>246</v>
      </c>
      <c r="E12" s="54" t="s">
        <v>24</v>
      </c>
      <c r="F12" s="54" t="s">
        <v>24</v>
      </c>
      <c r="G12" s="103" t="s">
        <v>32</v>
      </c>
      <c r="H12" s="103">
        <v>3</v>
      </c>
      <c r="I12" s="103">
        <v>2.363</v>
      </c>
      <c r="J12" s="103">
        <v>99.07</v>
      </c>
      <c r="K12" s="103">
        <v>29.61</v>
      </c>
      <c r="L12" s="26" t="s">
        <v>44</v>
      </c>
      <c r="M12" s="23">
        <v>1</v>
      </c>
      <c r="N12" s="23">
        <v>1.208</v>
      </c>
      <c r="O12" s="23">
        <v>103</v>
      </c>
      <c r="P12" s="23">
        <v>9.67</v>
      </c>
      <c r="Q12" s="15"/>
      <c r="R12" s="24">
        <v>1</v>
      </c>
      <c r="S12" s="24">
        <v>4.1349999999999998</v>
      </c>
      <c r="T12" s="25">
        <v>307441</v>
      </c>
      <c r="U12" s="25">
        <v>3.29</v>
      </c>
      <c r="V12" s="42">
        <f t="shared" si="0"/>
        <v>9</v>
      </c>
      <c r="W12" s="61" t="s">
        <v>44</v>
      </c>
      <c r="X12" s="57">
        <v>1</v>
      </c>
      <c r="Y12" s="57">
        <v>1171.8699999999999</v>
      </c>
      <c r="Z12" s="57">
        <v>102.5</v>
      </c>
      <c r="AA12" s="57">
        <v>9.66</v>
      </c>
      <c r="AB12" s="42">
        <f t="shared" si="1"/>
        <v>3.0652173913043477</v>
      </c>
      <c r="AC12" s="27" t="s">
        <v>248</v>
      </c>
    </row>
    <row r="13" spans="1:30" ht="15.75" customHeight="1">
      <c r="A13" s="7" t="s">
        <v>46</v>
      </c>
      <c r="C13" s="9" t="s">
        <v>125</v>
      </c>
      <c r="D13" s="7" t="s">
        <v>246</v>
      </c>
      <c r="E13" s="9" t="s">
        <v>24</v>
      </c>
      <c r="F13" s="9" t="s">
        <v>24</v>
      </c>
      <c r="G13" s="9" t="s">
        <v>32</v>
      </c>
      <c r="H13" s="9">
        <v>1</v>
      </c>
      <c r="I13" s="9">
        <v>1.2410000000000001</v>
      </c>
      <c r="J13" s="9">
        <v>85.72</v>
      </c>
      <c r="K13" s="9">
        <v>11.51</v>
      </c>
      <c r="L13" s="9" t="s">
        <v>34</v>
      </c>
      <c r="M13" s="9">
        <v>2</v>
      </c>
      <c r="N13" s="9">
        <v>1.6160000000000001</v>
      </c>
      <c r="O13" s="9">
        <v>84.01</v>
      </c>
      <c r="P13" s="9">
        <v>23.39</v>
      </c>
      <c r="R13" s="9">
        <v>1</v>
      </c>
      <c r="S13" s="9">
        <v>3.5310000000000001</v>
      </c>
      <c r="T13" s="9">
        <v>247.66</v>
      </c>
      <c r="U13" s="9">
        <v>7.98</v>
      </c>
      <c r="V13" s="9">
        <f>K13/U13</f>
        <v>1.4423558897243107</v>
      </c>
      <c r="W13" s="9" t="s">
        <v>34</v>
      </c>
      <c r="X13" s="9">
        <v>2</v>
      </c>
      <c r="Y13" s="9">
        <v>1752.57</v>
      </c>
      <c r="Z13" s="9">
        <v>83.59</v>
      </c>
      <c r="AA13" s="9">
        <v>23.46</v>
      </c>
      <c r="AB13" s="9">
        <f>K13/AA13</f>
        <v>0.49062233589087806</v>
      </c>
      <c r="AC13" s="9" t="s">
        <v>248</v>
      </c>
    </row>
    <row r="14" spans="1:30" ht="15.75" customHeight="1">
      <c r="A14" s="85" t="s">
        <v>47</v>
      </c>
      <c r="B14" s="9" t="s">
        <v>48</v>
      </c>
      <c r="C14" s="9">
        <v>185</v>
      </c>
      <c r="D14" t="s">
        <v>243</v>
      </c>
      <c r="E14" s="9" cm="1">
        <f t="array" ref="E14">_xlfn.LET(
_xlpm.x,LOWER(A14),
_xlpm.parts,_xlfn.TEXTSPLIT(_xlpm.x,"-"),
VALUE(_xlfn.TEXTBEFORE(INDEX(_xlfn._xlws.FILTER(_xlpm.parts,ISNUMBER(SEARCH("b",_xlpm.parts))),1),"b"))
)</f>
        <v>11</v>
      </c>
      <c r="F14" s="9" t="s">
        <v>24</v>
      </c>
      <c r="G14" s="17" t="str">
        <f>IF(E14&lt;10,"DP6",IF(E14&lt;=30,"TP2DP2","TP4"))</f>
        <v>TP2DP2</v>
      </c>
      <c r="H14" s="24" t="s">
        <v>49</v>
      </c>
      <c r="I14" s="24"/>
      <c r="J14" s="24"/>
      <c r="K14" s="24"/>
      <c r="L14" s="98" t="s">
        <v>44</v>
      </c>
      <c r="M14" s="15">
        <v>8</v>
      </c>
      <c r="N14" s="15">
        <v>4.8209999999999997</v>
      </c>
      <c r="O14" s="15">
        <v>59.2</v>
      </c>
      <c r="P14" s="15">
        <v>125.27</v>
      </c>
      <c r="Q14" s="15"/>
      <c r="R14" s="24"/>
      <c r="S14" s="24" t="s">
        <v>49</v>
      </c>
      <c r="T14" s="25"/>
      <c r="U14" s="25"/>
      <c r="V14" s="42" t="e">
        <f t="shared" si="0"/>
        <v>#DIV/0!</v>
      </c>
      <c r="W14" s="62" t="s">
        <v>44</v>
      </c>
      <c r="X14" s="62">
        <v>8</v>
      </c>
      <c r="Y14" s="62">
        <v>4.8209999999999997</v>
      </c>
      <c r="Z14" s="62">
        <v>59.2</v>
      </c>
      <c r="AA14" s="62">
        <v>125.27</v>
      </c>
      <c r="AB14" s="42">
        <f t="shared" si="1"/>
        <v>0</v>
      </c>
      <c r="AC14" s="27" t="s">
        <v>50</v>
      </c>
    </row>
    <row r="15" spans="1:30" ht="15.75" customHeight="1">
      <c r="A15" s="85" t="s">
        <v>51</v>
      </c>
      <c r="C15" s="86">
        <v>185</v>
      </c>
      <c r="D15" t="s">
        <v>133</v>
      </c>
      <c r="E15" s="9">
        <v>3</v>
      </c>
      <c r="F15" s="86" t="s">
        <v>24</v>
      </c>
      <c r="G15" s="104" t="str">
        <f>IF(E15&lt;10,"DP6",IF(E15&lt;=30,"TP2DP2","TP4"))</f>
        <v>DP6</v>
      </c>
      <c r="H15" s="104">
        <v>136</v>
      </c>
      <c r="I15" s="104">
        <v>3.6230000000000002</v>
      </c>
      <c r="J15" s="105">
        <v>99.5</v>
      </c>
      <c r="K15" s="105">
        <v>1318.21</v>
      </c>
      <c r="L15" s="15" t="s">
        <v>25</v>
      </c>
      <c r="M15" s="15">
        <v>640</v>
      </c>
      <c r="N15" s="29">
        <v>3.4249999999999998</v>
      </c>
      <c r="O15" s="29">
        <v>99.81</v>
      </c>
      <c r="P15" s="29">
        <v>5575.87</v>
      </c>
      <c r="Q15" s="15"/>
      <c r="R15" s="17">
        <v>26</v>
      </c>
      <c r="S15" s="17">
        <v>0.74</v>
      </c>
      <c r="T15" s="28">
        <v>29.51</v>
      </c>
      <c r="U15" s="28">
        <v>758.29</v>
      </c>
      <c r="V15" s="42">
        <f t="shared" si="0"/>
        <v>1.7383982381410807</v>
      </c>
      <c r="W15" s="62" t="s">
        <v>25</v>
      </c>
      <c r="X15" s="62">
        <v>640</v>
      </c>
      <c r="Y15" s="62">
        <v>3.4249999999999998</v>
      </c>
      <c r="Z15" s="62">
        <v>99.81</v>
      </c>
      <c r="AA15" s="62">
        <v>5575.87</v>
      </c>
      <c r="AB15" s="42">
        <f t="shared" si="1"/>
        <v>0.2364133310138149</v>
      </c>
    </row>
    <row r="16" spans="1:30" ht="15.75" customHeight="1">
      <c r="A16" s="85" t="s">
        <v>52</v>
      </c>
      <c r="B16"/>
      <c r="C16" s="85" t="s">
        <v>125</v>
      </c>
      <c r="D16" t="s">
        <v>134</v>
      </c>
      <c r="E16" t="s">
        <v>24</v>
      </c>
      <c r="F16" s="85" t="s">
        <v>24</v>
      </c>
      <c r="G16" s="102" t="s">
        <v>25</v>
      </c>
      <c r="H16" s="93">
        <v>16</v>
      </c>
      <c r="I16" s="93">
        <v>4.548</v>
      </c>
      <c r="J16" s="94">
        <v>53.34</v>
      </c>
      <c r="K16" s="94">
        <v>277.14</v>
      </c>
      <c r="L16" s="26" t="s">
        <v>25</v>
      </c>
      <c r="M16" s="15">
        <v>152</v>
      </c>
      <c r="N16" s="15">
        <v>4.9870000000000001</v>
      </c>
      <c r="O16" s="15">
        <v>84.07</v>
      </c>
      <c r="P16" s="15">
        <v>1600.89</v>
      </c>
      <c r="Q16" s="15"/>
      <c r="R16" s="17">
        <v>21</v>
      </c>
      <c r="S16" s="17">
        <v>4.3019999999999996</v>
      </c>
      <c r="T16" s="28">
        <v>71.06</v>
      </c>
      <c r="U16" s="28">
        <v>278.36</v>
      </c>
      <c r="V16" s="42">
        <f t="shared" si="0"/>
        <v>0.99561718637735297</v>
      </c>
      <c r="W16" s="62" t="s">
        <v>25</v>
      </c>
      <c r="X16" s="62">
        <v>152</v>
      </c>
      <c r="Y16" s="62">
        <v>4.9870000000000001</v>
      </c>
      <c r="Z16" s="62">
        <v>84.07</v>
      </c>
      <c r="AA16" s="62">
        <v>1600.89</v>
      </c>
      <c r="AB16" s="42">
        <f t="shared" si="1"/>
        <v>0.17311620411146297</v>
      </c>
    </row>
    <row r="17" spans="1:30" ht="15.75" customHeight="1">
      <c r="A17" s="10" t="s">
        <v>54</v>
      </c>
      <c r="B17" s="9" t="s">
        <v>249</v>
      </c>
      <c r="C17" s="9">
        <v>185</v>
      </c>
      <c r="D17" t="s">
        <v>243</v>
      </c>
      <c r="E17" s="9" cm="1">
        <f t="array" ref="E17">_xlfn.LET(
_xlpm.x,LOWER(A17),
_xlpm.parts,_xlfn.TEXTSPLIT(_xlpm.x,"-"),
VALUE(_xlfn.TEXTBEFORE(INDEX(_xlfn._xlws.FILTER(_xlpm.parts,ISNUMBER(SEARCH("b",_xlpm.parts))),1),"b"))
)</f>
        <v>12</v>
      </c>
      <c r="F17" s="9" t="s">
        <v>24</v>
      </c>
      <c r="G17" s="17" t="str">
        <f>IF(E17&lt;10,"DP6",IF(E17&lt;=30,"TP2DP2","TP4"))</f>
        <v>TP2DP2</v>
      </c>
      <c r="H17" s="24">
        <v>1</v>
      </c>
      <c r="I17" s="24">
        <v>122.15</v>
      </c>
      <c r="J17" s="24">
        <v>9250.98</v>
      </c>
      <c r="K17" s="24">
        <v>0.08</v>
      </c>
      <c r="L17" s="98" t="s">
        <v>44</v>
      </c>
      <c r="M17" s="15">
        <v>22</v>
      </c>
      <c r="N17" s="15">
        <v>1.806</v>
      </c>
      <c r="O17" s="15">
        <v>99.77</v>
      </c>
      <c r="P17" s="15">
        <v>210.46</v>
      </c>
      <c r="Q17" s="15" t="s">
        <v>136</v>
      </c>
      <c r="R17" s="24">
        <v>1</v>
      </c>
      <c r="S17" s="24">
        <v>1.4550000000000001</v>
      </c>
      <c r="T17" s="25">
        <v>130.31</v>
      </c>
      <c r="U17" s="25">
        <v>15.2</v>
      </c>
      <c r="V17" s="42">
        <f t="shared" si="0"/>
        <v>5.2631578947368429E-3</v>
      </c>
      <c r="W17" s="62" t="s">
        <v>44</v>
      </c>
      <c r="X17" s="62">
        <v>22</v>
      </c>
      <c r="Y17" s="62">
        <v>1.806</v>
      </c>
      <c r="Z17" s="62">
        <v>99.77</v>
      </c>
      <c r="AA17" s="62">
        <v>210.46</v>
      </c>
      <c r="AB17" s="42">
        <f t="shared" si="1"/>
        <v>3.80119737717381E-4</v>
      </c>
      <c r="AC17" s="27" t="s">
        <v>250</v>
      </c>
      <c r="AD17" s="9" t="s">
        <v>56</v>
      </c>
    </row>
    <row r="18" spans="1:30" ht="15.75" customHeight="1">
      <c r="A18" s="85" t="s">
        <v>57</v>
      </c>
      <c r="B18"/>
      <c r="C18" s="85" t="s">
        <v>125</v>
      </c>
      <c r="D18" t="s">
        <v>138</v>
      </c>
      <c r="E18" t="s">
        <v>24</v>
      </c>
      <c r="F18" s="85" t="s">
        <v>24</v>
      </c>
      <c r="G18" s="106" t="s">
        <v>25</v>
      </c>
      <c r="H18" s="107">
        <v>16</v>
      </c>
      <c r="I18" s="107">
        <v>1.833</v>
      </c>
      <c r="J18" s="108">
        <v>98.61</v>
      </c>
      <c r="K18" s="108">
        <v>156.93</v>
      </c>
      <c r="L18" s="26" t="s">
        <v>25</v>
      </c>
      <c r="M18" s="15">
        <v>14</v>
      </c>
      <c r="N18" s="15">
        <v>1.66</v>
      </c>
      <c r="O18" s="15">
        <v>96.69</v>
      </c>
      <c r="P18" s="15">
        <v>131.36000000000001</v>
      </c>
      <c r="Q18" s="15"/>
      <c r="R18" s="17">
        <v>1</v>
      </c>
      <c r="S18" s="17">
        <v>1.056</v>
      </c>
      <c r="T18" s="28">
        <v>93.69</v>
      </c>
      <c r="U18" s="28">
        <v>10.98</v>
      </c>
      <c r="V18" s="42">
        <f t="shared" si="0"/>
        <v>14.292349726775956</v>
      </c>
      <c r="W18" s="61" t="s">
        <v>25</v>
      </c>
      <c r="X18" s="57">
        <v>73</v>
      </c>
      <c r="Y18" s="57">
        <v>2721.22</v>
      </c>
      <c r="Z18" s="57">
        <v>98.65</v>
      </c>
      <c r="AA18" s="57">
        <v>686.11</v>
      </c>
      <c r="AB18" s="42">
        <f t="shared" si="1"/>
        <v>0.22872425704333124</v>
      </c>
    </row>
    <row r="19" spans="1:30" ht="15.75" customHeight="1">
      <c r="A19" s="85" t="s">
        <v>58</v>
      </c>
      <c r="C19" s="9">
        <v>185</v>
      </c>
      <c r="D19" t="s">
        <v>243</v>
      </c>
      <c r="E19" s="9">
        <v>14</v>
      </c>
      <c r="F19" s="9" t="s">
        <v>24</v>
      </c>
      <c r="G19" s="17" t="str">
        <f t="shared" ref="G19:G23" si="2">IF(E19&lt;10,"DP6",IF(E19&lt;=30,"TP2DP2","TP4"))</f>
        <v>TP2DP2</v>
      </c>
      <c r="H19" s="17">
        <v>15</v>
      </c>
      <c r="I19" s="17">
        <v>4.4320000000000004</v>
      </c>
      <c r="J19" s="17">
        <v>75.989999999999995</v>
      </c>
      <c r="K19" s="17">
        <v>183.97</v>
      </c>
      <c r="L19" s="98" t="s">
        <v>44</v>
      </c>
      <c r="M19" s="15">
        <v>16</v>
      </c>
      <c r="N19" s="15">
        <v>4.7889999999999997</v>
      </c>
      <c r="O19" s="15">
        <v>75.180000000000007</v>
      </c>
      <c r="P19" s="15">
        <v>200.5</v>
      </c>
      <c r="Q19" s="15" t="s">
        <v>140</v>
      </c>
      <c r="R19" s="24">
        <v>1</v>
      </c>
      <c r="S19" s="24">
        <v>1.762</v>
      </c>
      <c r="T19" s="25">
        <v>207.64</v>
      </c>
      <c r="U19" s="25">
        <v>11.92</v>
      </c>
      <c r="V19" s="47">
        <f t="shared" si="0"/>
        <v>15.433724832214764</v>
      </c>
      <c r="W19" s="61" t="s">
        <v>44</v>
      </c>
      <c r="X19" s="57">
        <v>15</v>
      </c>
      <c r="Y19" s="57">
        <v>4890.55</v>
      </c>
      <c r="Z19" s="57">
        <v>71.680000000000007</v>
      </c>
      <c r="AA19" s="57">
        <v>196.35</v>
      </c>
      <c r="AB19" s="42">
        <f t="shared" si="1"/>
        <v>0.93694932518461937</v>
      </c>
      <c r="AC19" s="27" t="s">
        <v>251</v>
      </c>
    </row>
    <row r="20" spans="1:30" ht="15.75" customHeight="1">
      <c r="A20" s="85" t="s">
        <v>59</v>
      </c>
      <c r="B20" s="9">
        <v>1</v>
      </c>
      <c r="C20" s="86">
        <v>185</v>
      </c>
      <c r="D20" t="s">
        <v>141</v>
      </c>
      <c r="E20" s="9">
        <v>5</v>
      </c>
      <c r="F20" s="86" t="s">
        <v>24</v>
      </c>
      <c r="G20" s="107" t="s">
        <v>25</v>
      </c>
      <c r="H20" s="107">
        <v>11</v>
      </c>
      <c r="I20" s="107">
        <v>2.9359999999999999</v>
      </c>
      <c r="J20" s="108">
        <v>96.19</v>
      </c>
      <c r="K20" s="108">
        <v>111.13</v>
      </c>
      <c r="M20" s="15">
        <v>89</v>
      </c>
      <c r="N20" s="15">
        <v>4.9489999999999998</v>
      </c>
      <c r="O20" s="15">
        <v>85.14</v>
      </c>
      <c r="P20" s="15">
        <v>546.47</v>
      </c>
      <c r="Q20" s="15"/>
      <c r="R20" s="17">
        <v>11</v>
      </c>
      <c r="S20" s="17">
        <v>2.399</v>
      </c>
      <c r="T20" s="28">
        <v>96.16</v>
      </c>
      <c r="U20" s="28">
        <v>111.54</v>
      </c>
      <c r="V20" s="42">
        <f>J20/U20</f>
        <v>0.86238120853505462</v>
      </c>
      <c r="W20" s="62" t="s">
        <v>25</v>
      </c>
      <c r="X20" s="62">
        <v>89</v>
      </c>
      <c r="Y20" s="62">
        <v>4.9489999999999998</v>
      </c>
      <c r="Z20" s="62">
        <v>85.14</v>
      </c>
      <c r="AA20" s="62">
        <v>546.47</v>
      </c>
      <c r="AB20" s="42">
        <f>J20/AA20</f>
        <v>0.17602064157227293</v>
      </c>
    </row>
    <row r="21" spans="1:30" ht="15.75" customHeight="1">
      <c r="A21" s="85" t="s">
        <v>60</v>
      </c>
      <c r="C21" s="9">
        <v>185</v>
      </c>
      <c r="D21" t="s">
        <v>243</v>
      </c>
      <c r="E21" s="9" cm="1">
        <f t="array" ref="E21">_xlfn.LET(
_xlpm.x,LOWER(A21),
_xlpm.parts,_xlfn.TEXTSPLIT(_xlpm.x,"-"),
VALUE(_xlfn.TEXTBEFORE(INDEX(_xlfn._xlws.FILTER(_xlpm.parts,ISNUMBER(SEARCH("b",_xlpm.parts))),1),"b"))
)</f>
        <v>14</v>
      </c>
      <c r="F21" s="9" t="s">
        <v>24</v>
      </c>
      <c r="G21" s="17" t="str">
        <f t="shared" si="2"/>
        <v>TP2DP2</v>
      </c>
      <c r="H21" s="17">
        <v>12</v>
      </c>
      <c r="I21" s="17">
        <v>3.2989999999999999</v>
      </c>
      <c r="J21" s="17">
        <v>97.54</v>
      </c>
      <c r="K21" s="17">
        <v>118.82</v>
      </c>
      <c r="L21" s="98" t="s">
        <v>44</v>
      </c>
      <c r="M21" s="15">
        <v>16</v>
      </c>
      <c r="N21" s="15">
        <v>0.96799999999999997</v>
      </c>
      <c r="O21" s="15">
        <v>67.900000000000006</v>
      </c>
      <c r="P21" s="15">
        <v>220.11</v>
      </c>
      <c r="Q21" s="15"/>
      <c r="R21" s="24">
        <v>1</v>
      </c>
      <c r="S21" s="24">
        <v>1.7370000000000001</v>
      </c>
      <c r="T21" s="25">
        <v>141</v>
      </c>
      <c r="U21" s="25">
        <v>14.03</v>
      </c>
      <c r="V21" s="42">
        <f t="shared" si="0"/>
        <v>8.4689950106913763</v>
      </c>
      <c r="W21" s="61" t="s">
        <v>44</v>
      </c>
      <c r="X21" s="57">
        <v>15</v>
      </c>
      <c r="Y21" s="57">
        <v>4775.6099999999997</v>
      </c>
      <c r="Z21" s="57">
        <v>67.349999999999994</v>
      </c>
      <c r="AA21" s="57">
        <v>208.42</v>
      </c>
      <c r="AB21" s="42">
        <f t="shared" si="1"/>
        <v>0.57009883888302471</v>
      </c>
      <c r="AC21" s="27" t="s">
        <v>251</v>
      </c>
    </row>
    <row r="22" spans="1:30" ht="15.75" customHeight="1">
      <c r="A22" s="85" t="s">
        <v>61</v>
      </c>
      <c r="C22" s="9">
        <v>185</v>
      </c>
      <c r="D22" t="s">
        <v>243</v>
      </c>
      <c r="E22" s="9" cm="1">
        <f t="array" ref="E22">_xlfn.LET(
_xlpm.x,LOWER(A22),
_xlpm.parts,_xlfn.TEXTSPLIT(_xlpm.x,"-"),
VALUE(_xlfn.TEXTBEFORE(INDEX(_xlfn._xlws.FILTER(_xlpm.parts,ISNUMBER(SEARCH("b",_xlpm.parts))),1),"b"))
)</f>
        <v>30</v>
      </c>
      <c r="F22" s="9" t="s">
        <v>24</v>
      </c>
      <c r="G22" s="17" t="str">
        <f t="shared" si="2"/>
        <v>TP2DP2</v>
      </c>
      <c r="H22" s="109">
        <v>66</v>
      </c>
      <c r="I22" s="109">
        <v>4.99</v>
      </c>
      <c r="J22" s="109">
        <v>99.87</v>
      </c>
      <c r="K22" s="109">
        <v>606.87</v>
      </c>
      <c r="L22" s="98" t="s">
        <v>44</v>
      </c>
      <c r="M22" s="15">
        <v>21</v>
      </c>
      <c r="N22" s="15">
        <v>0.89400000000000002</v>
      </c>
      <c r="O22" s="15">
        <v>100.48</v>
      </c>
      <c r="P22" s="15">
        <v>203.45</v>
      </c>
      <c r="Q22" s="15"/>
      <c r="R22" s="30">
        <v>11</v>
      </c>
      <c r="S22" s="30">
        <v>2.6930000000000001</v>
      </c>
      <c r="T22" s="30">
        <v>90.66</v>
      </c>
      <c r="U22" s="19">
        <v>112.89</v>
      </c>
      <c r="V22" s="42">
        <f t="shared" si="0"/>
        <v>5.3757640180706883</v>
      </c>
      <c r="W22" s="61" t="s">
        <v>44</v>
      </c>
      <c r="X22" s="57">
        <v>19</v>
      </c>
      <c r="Y22" s="57">
        <v>2898.24</v>
      </c>
      <c r="Z22" s="57">
        <v>99.37</v>
      </c>
      <c r="AA22" s="57">
        <v>186.06</v>
      </c>
      <c r="AB22" s="42">
        <f t="shared" si="1"/>
        <v>3.261689777491132</v>
      </c>
      <c r="AC22" s="27" t="s">
        <v>252</v>
      </c>
    </row>
    <row r="23" spans="1:30" ht="15.75" customHeight="1">
      <c r="A23" s="85" t="s">
        <v>63</v>
      </c>
      <c r="C23" s="9">
        <v>185</v>
      </c>
      <c r="D23" t="s">
        <v>243</v>
      </c>
      <c r="E23" s="9" cm="1">
        <f t="array" ref="E23">_xlfn.LET(
_xlpm.x,LOWER(A23),
_xlpm.parts,_xlfn.TEXTSPLIT(_xlpm.x,"-"),
VALUE(_xlfn.TEXTBEFORE(INDEX(_xlfn._xlws.FILTER(_xlpm.parts,ISNUMBER(SEARCH("b",_xlpm.parts))),1),"b"))
)</f>
        <v>30</v>
      </c>
      <c r="F23" s="9" t="s">
        <v>24</v>
      </c>
      <c r="G23" s="17" t="str">
        <f t="shared" si="2"/>
        <v>TP2DP2</v>
      </c>
      <c r="H23" s="17">
        <v>30</v>
      </c>
      <c r="I23" s="17">
        <v>3.323</v>
      </c>
      <c r="J23" s="17">
        <v>96.83</v>
      </c>
      <c r="K23" s="17">
        <v>299.04000000000002</v>
      </c>
      <c r="L23" s="98" t="s">
        <v>44</v>
      </c>
      <c r="M23" s="15">
        <v>23</v>
      </c>
      <c r="N23" s="15">
        <v>1.899</v>
      </c>
      <c r="O23" s="15">
        <v>98.89</v>
      </c>
      <c r="P23" s="15">
        <v>228.5</v>
      </c>
      <c r="Q23" s="15" t="s">
        <v>140</v>
      </c>
      <c r="R23" s="24">
        <v>1</v>
      </c>
      <c r="S23" s="24">
        <v>0.64700000000000002</v>
      </c>
      <c r="T23" s="25">
        <v>4129</v>
      </c>
      <c r="U23" s="25">
        <v>16.62</v>
      </c>
      <c r="V23" s="42">
        <f t="shared" si="0"/>
        <v>17.992779783393502</v>
      </c>
      <c r="W23" s="62" t="s">
        <v>44</v>
      </c>
      <c r="X23" s="62">
        <v>23</v>
      </c>
      <c r="Y23" s="62">
        <v>1.899</v>
      </c>
      <c r="Z23" s="62">
        <v>98.89</v>
      </c>
      <c r="AA23" s="62">
        <v>228.5</v>
      </c>
      <c r="AB23" s="42">
        <f t="shared" si="1"/>
        <v>1.3087089715536107</v>
      </c>
      <c r="AC23" s="27" t="s">
        <v>253</v>
      </c>
    </row>
    <row r="24" spans="1:30" ht="15.75" customHeight="1">
      <c r="A24" s="85" t="s">
        <v>67</v>
      </c>
      <c r="B24"/>
      <c r="C24" s="85" t="s">
        <v>125</v>
      </c>
      <c r="D24" t="s">
        <v>151</v>
      </c>
      <c r="E24" t="s">
        <v>24</v>
      </c>
      <c r="F24" s="85" t="s">
        <v>24</v>
      </c>
      <c r="G24" s="92" t="s">
        <v>25</v>
      </c>
      <c r="H24" s="88">
        <v>336</v>
      </c>
      <c r="I24" s="88">
        <v>4.9219999999999997</v>
      </c>
      <c r="J24" s="91">
        <v>84.76</v>
      </c>
      <c r="K24" s="91">
        <v>3714.85</v>
      </c>
      <c r="L24" s="26" t="s">
        <v>25</v>
      </c>
      <c r="M24" s="15">
        <v>312</v>
      </c>
      <c r="N24" s="15">
        <v>4.2709999999999999</v>
      </c>
      <c r="O24" s="15">
        <v>99.56</v>
      </c>
      <c r="P24" s="15">
        <v>2775.37</v>
      </c>
      <c r="Q24" s="15"/>
      <c r="R24" s="17">
        <v>16</v>
      </c>
      <c r="S24" s="17">
        <v>1.397</v>
      </c>
      <c r="T24" s="28">
        <v>32.700000000000003</v>
      </c>
      <c r="U24" s="28">
        <v>398.1</v>
      </c>
      <c r="V24" s="42">
        <f t="shared" si="0"/>
        <v>9.3314493845767394</v>
      </c>
      <c r="W24" s="61" t="s">
        <v>25</v>
      </c>
      <c r="X24" s="57">
        <v>337</v>
      </c>
      <c r="Y24" s="57">
        <v>2742.64</v>
      </c>
      <c r="Z24" s="57">
        <v>96.42</v>
      </c>
      <c r="AA24" s="57">
        <v>3176.94</v>
      </c>
      <c r="AB24" s="42">
        <f t="shared" ref="AB24:AB30" si="3">K24/AA24</f>
        <v>1.1693170157447104</v>
      </c>
    </row>
    <row r="25" spans="1:30" ht="15.75" customHeight="1">
      <c r="A25" s="85" t="s">
        <v>68</v>
      </c>
      <c r="B25"/>
      <c r="C25" s="85" t="s">
        <v>125</v>
      </c>
      <c r="D25" t="s">
        <v>152</v>
      </c>
      <c r="E25" t="s">
        <v>24</v>
      </c>
      <c r="F25" s="85" t="s">
        <v>24</v>
      </c>
      <c r="G25" s="92" t="s">
        <v>25</v>
      </c>
      <c r="H25" s="88">
        <v>86</v>
      </c>
      <c r="I25" s="88">
        <v>4.9210000000000003</v>
      </c>
      <c r="J25" s="91">
        <v>58.66</v>
      </c>
      <c r="K25" s="91">
        <v>1337.94</v>
      </c>
      <c r="L25" s="26" t="s">
        <v>25</v>
      </c>
      <c r="M25" s="15">
        <v>134</v>
      </c>
      <c r="N25" s="15">
        <v>4.8959999999999999</v>
      </c>
      <c r="O25" s="15">
        <v>90.71</v>
      </c>
      <c r="P25" s="15">
        <v>1307.1300000000001</v>
      </c>
      <c r="Q25" s="15"/>
      <c r="R25" s="17">
        <v>16</v>
      </c>
      <c r="S25" s="17">
        <v>3.7509999999999999</v>
      </c>
      <c r="T25" s="28">
        <v>61.5</v>
      </c>
      <c r="U25" s="28">
        <v>245.11</v>
      </c>
      <c r="V25" s="42">
        <f t="shared" si="0"/>
        <v>5.4585288237933991</v>
      </c>
      <c r="W25" s="61" t="s">
        <v>25</v>
      </c>
      <c r="X25" s="57">
        <v>177</v>
      </c>
      <c r="Y25" s="57">
        <v>3444.43</v>
      </c>
      <c r="Z25" s="57">
        <v>95.42</v>
      </c>
      <c r="AA25" s="57">
        <v>1690.97</v>
      </c>
      <c r="AB25" s="42">
        <f t="shared" si="3"/>
        <v>0.79122633754590566</v>
      </c>
    </row>
    <row r="26" spans="1:30" ht="15.75" customHeight="1">
      <c r="A26" s="85" t="s">
        <v>69</v>
      </c>
      <c r="B26"/>
      <c r="C26" s="85" t="s">
        <v>125</v>
      </c>
      <c r="D26" t="s">
        <v>153</v>
      </c>
      <c r="E26" t="s">
        <v>24</v>
      </c>
      <c r="F26" s="85" t="s">
        <v>24</v>
      </c>
      <c r="G26" s="92" t="s">
        <v>25</v>
      </c>
      <c r="H26" s="93">
        <v>46</v>
      </c>
      <c r="I26" s="93">
        <v>4.8659999999999997</v>
      </c>
      <c r="J26" s="94">
        <v>87.75</v>
      </c>
      <c r="K26" s="91">
        <v>493.07</v>
      </c>
      <c r="L26" s="26" t="s">
        <v>25</v>
      </c>
      <c r="M26" s="15">
        <v>67</v>
      </c>
      <c r="N26" s="15">
        <v>4.9930000000000003</v>
      </c>
      <c r="O26" s="15">
        <v>99.9</v>
      </c>
      <c r="P26" s="15">
        <v>609.70000000000005</v>
      </c>
      <c r="Q26" s="15"/>
      <c r="R26" s="34">
        <v>11</v>
      </c>
      <c r="S26" s="34">
        <v>4.4720000000000004</v>
      </c>
      <c r="T26" s="35">
        <v>90.48</v>
      </c>
      <c r="U26" s="28">
        <v>113.94</v>
      </c>
      <c r="V26" s="42">
        <f t="shared" si="0"/>
        <v>4.3274530454625237</v>
      </c>
      <c r="W26" s="61" t="s">
        <v>25</v>
      </c>
      <c r="X26" s="57">
        <v>138</v>
      </c>
      <c r="Y26" s="57">
        <v>4278.04</v>
      </c>
      <c r="Z26" s="57">
        <v>98.52</v>
      </c>
      <c r="AA26" s="57">
        <v>1278.75</v>
      </c>
      <c r="AB26" s="42">
        <f t="shared" si="3"/>
        <v>0.38558748778103619</v>
      </c>
    </row>
    <row r="27" spans="1:30" ht="15.75" customHeight="1">
      <c r="A27" s="85" t="s">
        <v>71</v>
      </c>
      <c r="B27"/>
      <c r="C27" s="85" t="s">
        <v>125</v>
      </c>
      <c r="D27" t="s">
        <v>154</v>
      </c>
      <c r="E27" t="s">
        <v>24</v>
      </c>
      <c r="F27" s="85" t="s">
        <v>24</v>
      </c>
      <c r="G27" s="92" t="s">
        <v>25</v>
      </c>
      <c r="H27" s="88">
        <v>51</v>
      </c>
      <c r="I27" s="88">
        <v>4.9889999999999999</v>
      </c>
      <c r="J27" s="91">
        <v>97.31</v>
      </c>
      <c r="K27" s="90">
        <v>472.58</v>
      </c>
      <c r="L27" s="26" t="s">
        <v>25</v>
      </c>
      <c r="M27" s="15">
        <v>56</v>
      </c>
      <c r="N27" s="15">
        <v>4.7450000000000001</v>
      </c>
      <c r="O27" s="15">
        <v>81.36</v>
      </c>
      <c r="P27" s="15">
        <v>476.17</v>
      </c>
      <c r="Q27" s="15"/>
      <c r="R27" s="17">
        <v>1</v>
      </c>
      <c r="S27" s="17">
        <v>0.76</v>
      </c>
      <c r="T27" s="28">
        <v>74.55</v>
      </c>
      <c r="U27" s="19">
        <v>13.29</v>
      </c>
      <c r="V27" s="42">
        <f t="shared" si="0"/>
        <v>35.559066967644846</v>
      </c>
      <c r="W27" s="62" t="s">
        <v>25</v>
      </c>
      <c r="X27" s="62">
        <v>56</v>
      </c>
      <c r="Y27" s="62">
        <v>4.7450000000000001</v>
      </c>
      <c r="Z27" s="62">
        <v>81.36</v>
      </c>
      <c r="AA27" s="62">
        <v>476.17</v>
      </c>
      <c r="AB27" s="42">
        <f t="shared" si="3"/>
        <v>0.99246067580905972</v>
      </c>
    </row>
    <row r="28" spans="1:30" ht="15.75" customHeight="1">
      <c r="A28" s="85" t="s">
        <v>72</v>
      </c>
      <c r="C28" s="86">
        <v>185</v>
      </c>
      <c r="D28" t="s">
        <v>155</v>
      </c>
      <c r="E28" s="9" cm="1">
        <f t="array" ref="E28">_xlfn.LET(
_xlpm.x,LOWER(A28),
_xlpm.parts,_xlfn.TEXTSPLIT(_xlpm.x,"-"),
VALUE(_xlfn.TEXTBEFORE(INDEX(_xlfn._xlws.FILTER(_xlpm.parts,ISNUMBER(SEARCH("b",_xlpm.parts))),1),"b"))
)</f>
        <v>7</v>
      </c>
      <c r="F28" s="86" t="s">
        <v>24</v>
      </c>
      <c r="G28" s="88" t="str">
        <f>IF(E28&lt;10,"DP6",IF(E28&lt;=30,"TP2DP2","TP4"))</f>
        <v>DP6</v>
      </c>
      <c r="H28" s="95">
        <v>46</v>
      </c>
      <c r="I28" s="95">
        <v>4.7750000000000004</v>
      </c>
      <c r="J28" s="96">
        <v>82.31</v>
      </c>
      <c r="K28" s="90">
        <v>517.71</v>
      </c>
      <c r="L28" s="15" t="s">
        <v>25</v>
      </c>
      <c r="M28" s="15">
        <v>61</v>
      </c>
      <c r="N28" s="15">
        <v>4.8869999999999996</v>
      </c>
      <c r="O28" s="15">
        <v>89.39</v>
      </c>
      <c r="P28" s="15">
        <v>624.17999999999995</v>
      </c>
      <c r="Q28" s="15"/>
      <c r="R28" s="36">
        <v>11</v>
      </c>
      <c r="S28" s="36">
        <v>4.6369999999999996</v>
      </c>
      <c r="T28" s="37">
        <v>92.92</v>
      </c>
      <c r="U28" s="19">
        <v>109.98</v>
      </c>
      <c r="V28" s="42">
        <f t="shared" si="0"/>
        <v>4.7073104200763778</v>
      </c>
      <c r="W28" s="61" t="s">
        <v>25</v>
      </c>
      <c r="X28" s="57">
        <v>67</v>
      </c>
      <c r="Y28" s="57">
        <v>4817.9399999999996</v>
      </c>
      <c r="Z28" s="57">
        <v>92.04</v>
      </c>
      <c r="AA28" s="57">
        <v>669.91</v>
      </c>
      <c r="AB28" s="42">
        <f t="shared" si="3"/>
        <v>0.77280530220477384</v>
      </c>
    </row>
    <row r="29" spans="1:30" ht="15.75" customHeight="1">
      <c r="A29" s="85" t="s">
        <v>74</v>
      </c>
      <c r="B29" t="s">
        <v>156</v>
      </c>
      <c r="C29" s="85" t="s">
        <v>125</v>
      </c>
      <c r="D29" t="s">
        <v>157</v>
      </c>
      <c r="E29" t="s">
        <v>24</v>
      </c>
      <c r="F29" s="85" t="s">
        <v>24</v>
      </c>
      <c r="G29" s="92" t="s">
        <v>25</v>
      </c>
      <c r="H29" s="88">
        <v>171</v>
      </c>
      <c r="I29" s="88">
        <v>4.9130000000000003</v>
      </c>
      <c r="J29" s="91">
        <v>62.22</v>
      </c>
      <c r="K29" s="91">
        <v>2481.9699999999998</v>
      </c>
      <c r="L29" s="26" t="s">
        <v>25</v>
      </c>
      <c r="M29" s="15">
        <v>210</v>
      </c>
      <c r="N29" s="15">
        <v>4.9740000000000002</v>
      </c>
      <c r="O29" s="15">
        <v>89.5</v>
      </c>
      <c r="P29" s="15">
        <v>1842.45</v>
      </c>
      <c r="Q29" s="15"/>
      <c r="R29" s="17">
        <v>26</v>
      </c>
      <c r="S29" s="17">
        <v>4.282</v>
      </c>
      <c r="T29" s="28">
        <v>60.52</v>
      </c>
      <c r="U29" s="28">
        <v>392.85</v>
      </c>
      <c r="V29" s="42">
        <f t="shared" si="0"/>
        <v>6.3178566883034231</v>
      </c>
      <c r="W29" s="62" t="s">
        <v>25</v>
      </c>
      <c r="X29" s="62">
        <v>210</v>
      </c>
      <c r="Y29" s="62">
        <v>4.9740000000000002</v>
      </c>
      <c r="Z29" s="62">
        <v>89.5</v>
      </c>
      <c r="AA29" s="62">
        <v>1842.45</v>
      </c>
      <c r="AB29" s="42">
        <f t="shared" si="3"/>
        <v>1.3471030421449699</v>
      </c>
    </row>
    <row r="30" spans="1:30" ht="15.75" customHeight="1">
      <c r="A30" s="85" t="s">
        <v>75</v>
      </c>
      <c r="B30" t="s">
        <v>156</v>
      </c>
      <c r="C30" s="85" t="s">
        <v>125</v>
      </c>
      <c r="D30" t="s">
        <v>158</v>
      </c>
      <c r="E30" t="s">
        <v>24</v>
      </c>
      <c r="F30" s="85" t="s">
        <v>24</v>
      </c>
      <c r="G30" s="92" t="s">
        <v>25</v>
      </c>
      <c r="H30" s="88">
        <v>41</v>
      </c>
      <c r="I30" s="88">
        <v>4.9740000000000002</v>
      </c>
      <c r="J30" s="91">
        <v>89.6</v>
      </c>
      <c r="K30" s="91">
        <v>429.45</v>
      </c>
      <c r="L30" s="26" t="s">
        <v>25</v>
      </c>
      <c r="M30" s="15">
        <v>16</v>
      </c>
      <c r="N30" s="15">
        <v>2.004</v>
      </c>
      <c r="O30" s="15">
        <v>99.53</v>
      </c>
      <c r="P30" s="15">
        <v>147.38999999999999</v>
      </c>
      <c r="Q30" s="15"/>
      <c r="R30" s="20">
        <v>1</v>
      </c>
      <c r="S30" s="20">
        <v>1.083</v>
      </c>
      <c r="T30" s="38">
        <v>164.82</v>
      </c>
      <c r="U30" s="25">
        <v>17.98</v>
      </c>
      <c r="V30" s="42">
        <f t="shared" si="0"/>
        <v>23.884872080088986</v>
      </c>
      <c r="W30" s="62" t="s">
        <v>25</v>
      </c>
      <c r="X30" s="62">
        <v>16</v>
      </c>
      <c r="Y30" s="62">
        <v>2.004</v>
      </c>
      <c r="Z30" s="62">
        <v>99.53</v>
      </c>
      <c r="AA30" s="62">
        <v>147.38999999999999</v>
      </c>
      <c r="AB30" s="42">
        <f t="shared" si="3"/>
        <v>2.9136983513128438</v>
      </c>
    </row>
    <row r="31" spans="1:30" ht="15.75" customHeight="1">
      <c r="A31" s="85" t="s">
        <v>77</v>
      </c>
      <c r="B31" s="54"/>
      <c r="C31" s="54" t="s">
        <v>125</v>
      </c>
      <c r="D31" t="s">
        <v>243</v>
      </c>
      <c r="E31" s="54" t="s">
        <v>24</v>
      </c>
      <c r="F31" s="54" t="s">
        <v>24</v>
      </c>
      <c r="G31" s="87" t="s">
        <v>43</v>
      </c>
      <c r="H31" s="87">
        <v>90</v>
      </c>
      <c r="I31" s="87">
        <v>4.9779999999999998</v>
      </c>
      <c r="J31" s="87">
        <v>98.2</v>
      </c>
      <c r="K31" s="87">
        <v>870.93</v>
      </c>
      <c r="AC31" s="27" t="s">
        <v>254</v>
      </c>
      <c r="AD31" s="9" t="s">
        <v>79</v>
      </c>
    </row>
    <row r="32" spans="1:30" ht="15.75" customHeight="1">
      <c r="A32" s="85" t="s">
        <v>80</v>
      </c>
      <c r="B32" s="9" t="s">
        <v>159</v>
      </c>
      <c r="C32" s="86">
        <v>185</v>
      </c>
      <c r="D32" t="s">
        <v>160</v>
      </c>
      <c r="E32" s="9">
        <v>1</v>
      </c>
      <c r="F32" s="86" t="s">
        <v>24</v>
      </c>
      <c r="G32" s="88" t="s">
        <v>25</v>
      </c>
      <c r="H32" s="88">
        <v>11</v>
      </c>
      <c r="I32" s="88">
        <v>2.032</v>
      </c>
      <c r="J32" s="91">
        <v>80.44</v>
      </c>
      <c r="K32" s="91">
        <v>32.03</v>
      </c>
      <c r="L32" s="15" t="s">
        <v>25</v>
      </c>
      <c r="M32" s="15"/>
      <c r="N32" s="15"/>
      <c r="O32" s="15"/>
      <c r="P32" s="15"/>
      <c r="Q32" s="15" t="s">
        <v>161</v>
      </c>
      <c r="R32" s="24">
        <v>1</v>
      </c>
      <c r="S32" s="24">
        <v>1.3149999999999999</v>
      </c>
      <c r="T32" s="25">
        <v>114.94</v>
      </c>
      <c r="U32" s="25">
        <v>41.51</v>
      </c>
      <c r="V32" s="47">
        <f t="shared" si="0"/>
        <v>0.77162129607323537</v>
      </c>
      <c r="W32" s="61" t="s">
        <v>25</v>
      </c>
      <c r="X32" s="57" t="s">
        <v>23</v>
      </c>
      <c r="Y32" s="57"/>
      <c r="Z32" s="57"/>
      <c r="AA32" s="57"/>
      <c r="AB32" s="42"/>
    </row>
    <row r="33" spans="1:30" ht="15.95">
      <c r="A33" s="85" t="s">
        <v>84</v>
      </c>
      <c r="C33" s="86">
        <v>185</v>
      </c>
      <c r="D33" t="s">
        <v>179</v>
      </c>
      <c r="E33" s="9" cm="1">
        <f t="array" ref="E33">_xlfn.LET(
_xlpm.x,LOWER(A33),
_xlpm.parts,_xlfn.TEXTSPLIT(_xlpm.x,"-"),
VALUE(_xlfn.TEXTBEFORE(INDEX(_xlfn._xlws.FILTER(_xlpm.parts,ISNUMBER(SEARCH("b",_xlpm.parts))),1),"b"))
)</f>
        <v>8</v>
      </c>
      <c r="F33" s="86" t="s">
        <v>24</v>
      </c>
      <c r="G33" s="88" t="str">
        <f t="shared" ref="G33:G37" si="4">IF(E33&lt;10,"DP6",IF(E33&lt;=30,"TP2DP2","TP4"))</f>
        <v>DP6</v>
      </c>
      <c r="H33" s="88">
        <v>71</v>
      </c>
      <c r="I33" s="88">
        <v>4.6159999999999997</v>
      </c>
      <c r="J33" s="91">
        <v>57.03</v>
      </c>
      <c r="K33" s="91">
        <v>1127.95</v>
      </c>
      <c r="L33" s="15" t="s">
        <v>25</v>
      </c>
      <c r="M33" s="15">
        <v>150</v>
      </c>
      <c r="N33" s="15">
        <v>4.9550000000000001</v>
      </c>
      <c r="O33" s="15">
        <v>91.15</v>
      </c>
      <c r="P33" s="15">
        <v>1463.69</v>
      </c>
      <c r="Q33" s="15"/>
      <c r="R33" s="17">
        <v>11</v>
      </c>
      <c r="S33" s="17">
        <v>3.3740000000000001</v>
      </c>
      <c r="T33" s="28">
        <v>55.59</v>
      </c>
      <c r="U33" s="28">
        <v>186.54</v>
      </c>
      <c r="V33" s="50">
        <f t="shared" ref="V33:V44" si="5">K33/U33</f>
        <v>6.0466923984132093</v>
      </c>
      <c r="W33" s="61" t="s">
        <v>25</v>
      </c>
      <c r="X33" s="57">
        <v>156</v>
      </c>
      <c r="Y33" s="57">
        <v>4939.28</v>
      </c>
      <c r="Z33" s="57">
        <v>96.11</v>
      </c>
      <c r="AA33" s="57">
        <v>1437.52</v>
      </c>
      <c r="AB33" s="42">
        <f t="shared" ref="AB33:AB44" si="6">K33/AA33</f>
        <v>0.78464995269631033</v>
      </c>
    </row>
    <row r="34" spans="1:30" ht="15.95">
      <c r="A34" s="85" t="s">
        <v>86</v>
      </c>
      <c r="C34" s="86">
        <v>185</v>
      </c>
      <c r="D34" t="s">
        <v>181</v>
      </c>
      <c r="E34" s="9" cm="1">
        <f t="array" ref="E34">_xlfn.LET(
_xlpm.x,LOWER(A34),
_xlpm.parts,_xlfn.TEXTSPLIT(_xlpm.x,"-"),
VALUE(_xlfn.TEXTBEFORE(INDEX(_xlfn._xlws.FILTER(_xlpm.parts,ISNUMBER(SEARCH("b",_xlpm.parts))),1),"b"))
)</f>
        <v>1</v>
      </c>
      <c r="F34" s="86" t="s">
        <v>24</v>
      </c>
      <c r="G34" s="88" t="str">
        <f t="shared" si="4"/>
        <v>DP6</v>
      </c>
      <c r="H34" s="88">
        <v>546</v>
      </c>
      <c r="I34" s="88">
        <v>4.8760000000000003</v>
      </c>
      <c r="J34" s="91">
        <v>54.3</v>
      </c>
      <c r="K34" s="91">
        <v>9086.27</v>
      </c>
      <c r="L34" s="15" t="s">
        <v>25</v>
      </c>
      <c r="M34" s="15">
        <v>816</v>
      </c>
      <c r="N34" s="15">
        <v>4.6619999999999999</v>
      </c>
      <c r="O34" s="15">
        <v>98.94</v>
      </c>
      <c r="P34" s="15">
        <v>7352.74</v>
      </c>
      <c r="Q34" s="15"/>
      <c r="R34" s="17">
        <v>21</v>
      </c>
      <c r="S34" s="17">
        <v>0.876</v>
      </c>
      <c r="T34" s="28">
        <v>16.22</v>
      </c>
      <c r="U34" s="28">
        <v>1081.28</v>
      </c>
      <c r="V34" s="50">
        <f t="shared" si="5"/>
        <v>8.4032535513465536</v>
      </c>
      <c r="W34" s="61" t="s">
        <v>25</v>
      </c>
      <c r="X34" s="57">
        <v>816</v>
      </c>
      <c r="Y34" s="57">
        <v>4839.4799999999996</v>
      </c>
      <c r="Z34" s="57">
        <v>94.5</v>
      </c>
      <c r="AA34" s="57">
        <v>7613.21</v>
      </c>
      <c r="AB34" s="42">
        <f t="shared" si="6"/>
        <v>1.1934873726062989</v>
      </c>
    </row>
    <row r="35" spans="1:30" ht="15.95">
      <c r="A35" s="85" t="s">
        <v>87</v>
      </c>
      <c r="C35" s="86">
        <v>185</v>
      </c>
      <c r="D35" t="s">
        <v>183</v>
      </c>
      <c r="E35" s="9" cm="1">
        <f t="array" ref="E35">_xlfn.LET(
_xlpm.x,LOWER(A35),
_xlpm.parts,_xlfn.TEXTSPLIT(_xlpm.x,"-"),
VALUE(_xlfn.TEXTBEFORE(INDEX(_xlfn._xlws.FILTER(_xlpm.parts,ISNUMBER(SEARCH("b",_xlpm.parts))),1),"b"))
)</f>
        <v>3</v>
      </c>
      <c r="F35" s="86" t="s">
        <v>24</v>
      </c>
      <c r="G35" s="88" t="str">
        <f t="shared" si="4"/>
        <v>DP6</v>
      </c>
      <c r="H35" s="88">
        <v>121</v>
      </c>
      <c r="I35" s="88">
        <v>3.6240000000000001</v>
      </c>
      <c r="J35" s="91">
        <v>98.63</v>
      </c>
      <c r="K35" s="91">
        <v>1159.21</v>
      </c>
      <c r="L35" s="15" t="s">
        <v>25</v>
      </c>
      <c r="M35" s="15">
        <v>280</v>
      </c>
      <c r="N35" s="15">
        <v>3.9860000000000002</v>
      </c>
      <c r="O35" s="15">
        <v>99.8</v>
      </c>
      <c r="P35" s="15">
        <v>2409.3000000000002</v>
      </c>
      <c r="Q35" s="15"/>
      <c r="R35" s="17">
        <v>16</v>
      </c>
      <c r="S35" s="17">
        <v>1.8320000000000001</v>
      </c>
      <c r="T35" s="28">
        <v>71.36</v>
      </c>
      <c r="U35" s="28">
        <v>201.6</v>
      </c>
      <c r="V35" s="50">
        <f t="shared" si="5"/>
        <v>5.7500496031746033</v>
      </c>
      <c r="W35" s="61" t="s">
        <v>25</v>
      </c>
      <c r="X35" s="57">
        <v>280</v>
      </c>
      <c r="Y35" s="57">
        <v>2541.41</v>
      </c>
      <c r="Z35" s="57">
        <v>3949.54</v>
      </c>
      <c r="AA35" s="57">
        <v>97.79</v>
      </c>
      <c r="AB35" s="42">
        <f t="shared" si="6"/>
        <v>11.854075058799468</v>
      </c>
    </row>
    <row r="36" spans="1:30" ht="15.95">
      <c r="A36" s="85" t="s">
        <v>88</v>
      </c>
      <c r="B36" s="85"/>
      <c r="C36" s="85" t="s">
        <v>125</v>
      </c>
      <c r="D36" s="85" t="s">
        <v>243</v>
      </c>
      <c r="E36" s="54" cm="1">
        <f t="array" ref="E36">_xlfn.LET(
_xlpm.x,LOWER(A36),
_xlpm.parts,_xlfn.TEXTSPLIT(_xlpm.x,"-"),
VALUE(_xlfn.TEXTBEFORE(INDEX(_xlfn._xlws.FILTER(_xlpm.parts,ISNUMBER(SEARCH("b",_xlpm.parts))),1),"b"))
)</f>
        <v>70</v>
      </c>
      <c r="F36" s="54" t="s">
        <v>24</v>
      </c>
      <c r="G36" s="17" t="str">
        <f t="shared" si="4"/>
        <v>TP4</v>
      </c>
      <c r="H36" s="121">
        <v>1</v>
      </c>
      <c r="I36" s="121">
        <v>1.3089999999999999</v>
      </c>
      <c r="J36" s="121">
        <v>100.87</v>
      </c>
      <c r="K36" s="121">
        <v>9.8000000000000007</v>
      </c>
      <c r="L36" s="23" t="s">
        <v>44</v>
      </c>
      <c r="M36" s="23">
        <v>1</v>
      </c>
      <c r="N36" s="23">
        <v>1.4850000000000001</v>
      </c>
      <c r="O36" s="23">
        <v>117.76</v>
      </c>
      <c r="P36" s="39">
        <v>8.4</v>
      </c>
      <c r="Q36" s="15"/>
      <c r="R36" s="121">
        <v>1</v>
      </c>
      <c r="S36" s="121">
        <v>4.7729999999999997</v>
      </c>
      <c r="T36" s="122">
        <v>351.26</v>
      </c>
      <c r="U36" s="122">
        <v>5.64</v>
      </c>
      <c r="V36" s="47">
        <f t="shared" si="5"/>
        <v>1.7375886524822697</v>
      </c>
      <c r="W36" s="61" t="s">
        <v>44</v>
      </c>
      <c r="X36" s="57">
        <v>1</v>
      </c>
      <c r="Y36" s="57">
        <v>3457.87</v>
      </c>
      <c r="Z36" s="57">
        <v>3457.87</v>
      </c>
      <c r="AA36" s="57">
        <v>3457.87</v>
      </c>
      <c r="AB36" s="42">
        <f t="shared" si="6"/>
        <v>2.8341146428292564E-3</v>
      </c>
      <c r="AC36" s="27" t="s">
        <v>255</v>
      </c>
    </row>
    <row r="37" spans="1:30" ht="15.95">
      <c r="A37" s="85" t="s">
        <v>89</v>
      </c>
      <c r="B37" s="85"/>
      <c r="C37" s="85" t="s">
        <v>125</v>
      </c>
      <c r="D37" s="85" t="s">
        <v>243</v>
      </c>
      <c r="E37" s="54" cm="1">
        <f t="array" ref="E37">_xlfn.LET(
_xlpm.x,LOWER(A37),
_xlpm.parts,_xlfn.TEXTSPLIT(_xlpm.x,"-"),
VALUE(_xlfn.TEXTBEFORE(INDEX(_xlfn._xlws.FILTER(_xlpm.parts,ISNUMBER(SEARCH("b",_xlpm.parts))),1),"b"))
)</f>
        <v>32</v>
      </c>
      <c r="F37" s="54" t="s">
        <v>24</v>
      </c>
      <c r="G37" s="17" t="str">
        <f t="shared" si="4"/>
        <v>TP4</v>
      </c>
      <c r="H37" s="17">
        <v>9</v>
      </c>
      <c r="I37" s="17">
        <v>4.6459999999999999</v>
      </c>
      <c r="J37" s="17">
        <v>90.96</v>
      </c>
      <c r="K37" s="17">
        <v>94.31</v>
      </c>
      <c r="L37" s="15" t="s">
        <v>44</v>
      </c>
      <c r="M37" s="15">
        <v>13</v>
      </c>
      <c r="N37" s="15">
        <v>4.8600000000000003</v>
      </c>
      <c r="O37" s="15">
        <v>82.32</v>
      </c>
      <c r="P37" s="15">
        <v>149.44</v>
      </c>
      <c r="Q37" s="15"/>
      <c r="R37" s="24">
        <v>1</v>
      </c>
      <c r="S37" s="24">
        <v>2.4990000000000001</v>
      </c>
      <c r="T37" s="25">
        <v>182451.31</v>
      </c>
      <c r="U37" s="25">
        <v>5.55</v>
      </c>
      <c r="V37" s="47">
        <f t="shared" si="5"/>
        <v>16.992792792792795</v>
      </c>
      <c r="W37" s="61" t="s">
        <v>44</v>
      </c>
      <c r="X37" s="57">
        <v>12</v>
      </c>
      <c r="Y37" s="57">
        <v>4938.93</v>
      </c>
      <c r="Z37" s="57">
        <v>79.680000000000007</v>
      </c>
      <c r="AA37" s="57">
        <v>142.12</v>
      </c>
      <c r="AB37" s="42">
        <f t="shared" si="6"/>
        <v>0.66359414579228815</v>
      </c>
      <c r="AC37" s="27" t="s">
        <v>255</v>
      </c>
    </row>
    <row r="38" spans="1:30" ht="15.75" customHeight="1">
      <c r="A38" s="85" t="s">
        <v>90</v>
      </c>
      <c r="B38"/>
      <c r="C38" s="85" t="s">
        <v>125</v>
      </c>
      <c r="D38" s="85" t="s">
        <v>243</v>
      </c>
      <c r="E38" t="s">
        <v>85</v>
      </c>
      <c r="F38" s="85" t="s">
        <v>24</v>
      </c>
      <c r="G38" s="92" t="s">
        <v>25</v>
      </c>
      <c r="H38" s="92">
        <v>65</v>
      </c>
      <c r="I38" s="92">
        <v>4.74</v>
      </c>
      <c r="J38" s="92">
        <v>69.63</v>
      </c>
      <c r="K38" s="92">
        <v>854.2</v>
      </c>
      <c r="AC38" s="27" t="s">
        <v>256</v>
      </c>
      <c r="AD38" s="9" t="s">
        <v>79</v>
      </c>
    </row>
    <row r="39" spans="1:30" ht="15.95">
      <c r="A39" s="85" t="s">
        <v>91</v>
      </c>
      <c r="C39" s="86">
        <v>185</v>
      </c>
      <c r="D39" t="s">
        <v>199</v>
      </c>
      <c r="E39" s="9" cm="1">
        <f t="array" ref="E39">_xlfn.LET(
_xlpm.x,LOWER(A39),
_xlpm.parts,_xlfn.TEXTSPLIT(_xlpm.x,"-"),
VALUE(_xlfn.TEXTBEFORE(INDEX(_xlfn._xlws.FILTER(_xlpm.parts,ISNUMBER(SEARCH("b",_xlpm.parts))),1),"b"))
)</f>
        <v>8</v>
      </c>
      <c r="F39" s="86" t="s">
        <v>24</v>
      </c>
      <c r="G39" s="88" t="str">
        <f t="shared" ref="G39:G44" si="7">IF(E39&lt;10,"DP6",IF(E39&lt;=30,"TP2DP2","TP4"))</f>
        <v>DP6</v>
      </c>
      <c r="H39" s="89">
        <v>46</v>
      </c>
      <c r="I39" s="89">
        <v>4.5190000000000001</v>
      </c>
      <c r="J39" s="90">
        <v>89.89</v>
      </c>
      <c r="K39" s="90">
        <v>476.09</v>
      </c>
      <c r="L39" s="15" t="s">
        <v>25</v>
      </c>
      <c r="M39" s="15">
        <v>68</v>
      </c>
      <c r="N39" s="15">
        <v>4.9989999999999997</v>
      </c>
      <c r="O39" s="15">
        <v>62.52</v>
      </c>
      <c r="P39" s="15">
        <v>932.95</v>
      </c>
      <c r="Q39" s="15" t="s">
        <v>140</v>
      </c>
      <c r="R39" s="18">
        <v>6</v>
      </c>
      <c r="S39" s="18">
        <v>3.1</v>
      </c>
      <c r="T39" s="19">
        <v>87.26</v>
      </c>
      <c r="U39" s="19">
        <v>66.44</v>
      </c>
      <c r="V39" s="47">
        <f t="shared" si="5"/>
        <v>7.1657134256472004</v>
      </c>
      <c r="W39" s="62" t="s">
        <v>25</v>
      </c>
      <c r="X39" s="62">
        <v>68</v>
      </c>
      <c r="Y39" s="62">
        <v>4.9989999999999997</v>
      </c>
      <c r="Z39" s="62">
        <v>62.52</v>
      </c>
      <c r="AA39" s="62">
        <v>932.95</v>
      </c>
      <c r="AB39" s="42">
        <f t="shared" si="6"/>
        <v>0.51030601854333024</v>
      </c>
    </row>
    <row r="40" spans="1:30" ht="15.95">
      <c r="A40" s="85" t="s">
        <v>93</v>
      </c>
      <c r="C40" s="86">
        <v>185</v>
      </c>
      <c r="D40" t="s">
        <v>200</v>
      </c>
      <c r="E40" s="9" cm="1">
        <f t="array" ref="E40">_xlfn.LET(
_xlpm.x,LOWER(A40),
_xlpm.parts,_xlfn.TEXTSPLIT(_xlpm.x,"-"),
VALUE(_xlfn.TEXTBEFORE(INDEX(_xlfn._xlws.FILTER(_xlpm.parts,ISNUMBER(SEARCH("b",_xlpm.parts))),1),"b"))
)</f>
        <v>1</v>
      </c>
      <c r="F40" s="86" t="s">
        <v>24</v>
      </c>
      <c r="G40" s="88" t="str">
        <f t="shared" si="7"/>
        <v>DP6</v>
      </c>
      <c r="H40" s="89">
        <v>336</v>
      </c>
      <c r="I40" s="88">
        <v>4.9729999999999999</v>
      </c>
      <c r="J40" s="90">
        <v>41.4</v>
      </c>
      <c r="K40" s="90">
        <v>7180.94</v>
      </c>
      <c r="L40" s="15" t="s">
        <v>25</v>
      </c>
      <c r="M40" s="15">
        <v>546</v>
      </c>
      <c r="N40" s="15">
        <v>4.9379999999999997</v>
      </c>
      <c r="O40" s="15">
        <v>72.599999999999994</v>
      </c>
      <c r="P40" s="15">
        <v>6233.22</v>
      </c>
      <c r="Q40" s="15" t="s">
        <v>140</v>
      </c>
      <c r="R40" s="18">
        <v>76</v>
      </c>
      <c r="S40" s="18">
        <v>1.331</v>
      </c>
      <c r="T40" s="19">
        <v>26.36</v>
      </c>
      <c r="U40" s="19">
        <v>2698.42</v>
      </c>
      <c r="V40" s="47">
        <f t="shared" si="5"/>
        <v>2.661164681554391</v>
      </c>
      <c r="W40" s="62" t="s">
        <v>25</v>
      </c>
      <c r="X40" s="62">
        <v>546</v>
      </c>
      <c r="Y40" s="62">
        <v>4.9379999999999997</v>
      </c>
      <c r="Z40" s="62">
        <v>72.599999999999994</v>
      </c>
      <c r="AA40" s="62">
        <v>6233.22</v>
      </c>
      <c r="AB40" s="42">
        <f t="shared" si="6"/>
        <v>1.1520434061367959</v>
      </c>
    </row>
    <row r="41" spans="1:30" ht="15.95">
      <c r="A41" s="85" t="s">
        <v>94</v>
      </c>
      <c r="C41" s="86">
        <v>185</v>
      </c>
      <c r="D41" t="s">
        <v>201</v>
      </c>
      <c r="E41" s="9" cm="1">
        <f t="array" ref="E41">_xlfn.LET(
_xlpm.x,LOWER(A41),
_xlpm.parts,_xlfn.TEXTSPLIT(_xlpm.x,"-"),
VALUE(_xlfn.TEXTBEFORE(INDEX(_xlfn._xlws.FILTER(_xlpm.parts,ISNUMBER(SEARCH("b",_xlpm.parts))),1),"b"))
)</f>
        <v>3</v>
      </c>
      <c r="F41" s="86" t="s">
        <v>24</v>
      </c>
      <c r="G41" s="88" t="str">
        <f t="shared" si="7"/>
        <v>DP6</v>
      </c>
      <c r="H41" s="88">
        <v>91</v>
      </c>
      <c r="I41" s="88">
        <v>4.7030000000000003</v>
      </c>
      <c r="J41" s="91">
        <v>99.7</v>
      </c>
      <c r="K41" s="91">
        <v>845.24</v>
      </c>
      <c r="L41" s="15" t="s">
        <v>25</v>
      </c>
      <c r="M41" s="15">
        <v>186</v>
      </c>
      <c r="N41" s="15">
        <v>4.93</v>
      </c>
      <c r="O41" s="15">
        <v>77.48</v>
      </c>
      <c r="P41" s="15">
        <v>2074.77</v>
      </c>
      <c r="Q41" s="15" t="s">
        <v>140</v>
      </c>
      <c r="R41" s="24">
        <v>1</v>
      </c>
      <c r="S41" s="24">
        <v>0.373</v>
      </c>
      <c r="T41" s="25">
        <v>121.37</v>
      </c>
      <c r="U41" s="25">
        <v>34.14</v>
      </c>
      <c r="V41" s="47">
        <f t="shared" si="5"/>
        <v>24.758055067369654</v>
      </c>
      <c r="W41" s="62" t="s">
        <v>25</v>
      </c>
      <c r="X41" s="62">
        <v>186</v>
      </c>
      <c r="Y41" s="62">
        <v>4.93</v>
      </c>
      <c r="Z41" s="62">
        <v>77.48</v>
      </c>
      <c r="AA41" s="62">
        <v>2074.77</v>
      </c>
      <c r="AB41" s="42">
        <f t="shared" si="6"/>
        <v>0.40738973476578128</v>
      </c>
    </row>
    <row r="42" spans="1:30" ht="15.95">
      <c r="A42" s="85" t="s">
        <v>95</v>
      </c>
      <c r="B42" s="85"/>
      <c r="C42" s="85" t="s">
        <v>125</v>
      </c>
      <c r="D42" s="85" t="s">
        <v>243</v>
      </c>
      <c r="E42" s="54" cm="1">
        <f t="array" ref="E42">_xlfn.LET(
_xlpm.x,LOWER(A42),
_xlpm.parts,_xlfn.TEXTSPLIT(_xlpm.x,"-"),
VALUE(_xlfn.TEXTBEFORE(INDEX(_xlfn._xlws.FILTER(_xlpm.parts,ISNUMBER(SEARCH("b",_xlpm.parts))),1),"b"))
)</f>
        <v>32</v>
      </c>
      <c r="F42" s="54" t="s">
        <v>24</v>
      </c>
      <c r="G42" s="17" t="str">
        <f t="shared" si="7"/>
        <v>TP4</v>
      </c>
      <c r="H42" s="17">
        <v>5</v>
      </c>
      <c r="I42" s="17">
        <v>3.8069999999999999</v>
      </c>
      <c r="J42" s="17">
        <v>93.79</v>
      </c>
      <c r="K42" s="17">
        <v>51.31</v>
      </c>
      <c r="L42" s="15" t="s">
        <v>44</v>
      </c>
      <c r="M42" s="15">
        <v>6</v>
      </c>
      <c r="N42" s="15">
        <v>4.8559999999999999</v>
      </c>
      <c r="O42" s="15">
        <v>66.569999999999993</v>
      </c>
      <c r="P42" s="15">
        <v>84.2</v>
      </c>
      <c r="Q42" s="15" t="s">
        <v>140</v>
      </c>
      <c r="R42" s="24"/>
      <c r="S42" s="24" t="s">
        <v>203</v>
      </c>
      <c r="T42" s="25"/>
      <c r="U42" s="25"/>
      <c r="V42" s="47" t="e">
        <f t="shared" si="5"/>
        <v>#DIV/0!</v>
      </c>
      <c r="W42" s="62" t="s">
        <v>44</v>
      </c>
      <c r="X42" s="62">
        <v>6</v>
      </c>
      <c r="Y42" s="62">
        <v>4.8559999999999999</v>
      </c>
      <c r="Z42" s="62">
        <v>66.569999999999993</v>
      </c>
      <c r="AA42" s="62">
        <v>84.2</v>
      </c>
      <c r="AB42" s="42">
        <f t="shared" si="6"/>
        <v>0.60938242280285038</v>
      </c>
      <c r="AC42" s="27" t="s">
        <v>255</v>
      </c>
    </row>
    <row r="43" spans="1:30" ht="15.95">
      <c r="A43" s="85" t="s">
        <v>96</v>
      </c>
      <c r="C43" s="9">
        <v>185</v>
      </c>
      <c r="D43" t="s">
        <v>243</v>
      </c>
      <c r="E43" s="9" cm="1">
        <f t="array" ref="E43">_xlfn.LET(
_xlpm.x,LOWER(A43),
_xlpm.parts,_xlfn.TEXTSPLIT(_xlpm.x,"-"),
VALUE(_xlfn.TEXTBEFORE(INDEX(_xlfn._xlws.FILTER(_xlpm.parts,ISNUMBER(SEARCH("b",_xlpm.parts))),1),"b"))
)</f>
        <v>14</v>
      </c>
      <c r="F43" s="9" t="s">
        <v>24</v>
      </c>
      <c r="G43" s="17" t="str">
        <f t="shared" si="7"/>
        <v>TP2DP2</v>
      </c>
      <c r="H43" s="17">
        <v>14</v>
      </c>
      <c r="I43" s="17">
        <v>4.1429999999999998</v>
      </c>
      <c r="J43" s="17">
        <v>99.65</v>
      </c>
      <c r="K43" s="17">
        <v>135.06</v>
      </c>
      <c r="L43" s="15" t="s">
        <v>25</v>
      </c>
      <c r="M43" s="15">
        <v>32</v>
      </c>
      <c r="N43" s="15">
        <v>4.915</v>
      </c>
      <c r="O43" s="15">
        <v>77.760000000000005</v>
      </c>
      <c r="P43" s="15">
        <v>371.6</v>
      </c>
      <c r="Q43" s="15" t="s">
        <v>140</v>
      </c>
      <c r="R43" s="24">
        <v>1</v>
      </c>
      <c r="S43" s="24">
        <v>1.5269999999999999</v>
      </c>
      <c r="T43" s="25">
        <v>130.69</v>
      </c>
      <c r="U43" s="25">
        <v>15.15</v>
      </c>
      <c r="V43" s="47">
        <f t="shared" si="5"/>
        <v>8.9148514851485157</v>
      </c>
      <c r="W43" s="62" t="s">
        <v>25</v>
      </c>
      <c r="X43" s="62">
        <v>32</v>
      </c>
      <c r="Y43" s="62">
        <v>4.915</v>
      </c>
      <c r="Z43" s="62">
        <v>77.760000000000005</v>
      </c>
      <c r="AA43" s="62">
        <v>371.6</v>
      </c>
      <c r="AB43" s="42">
        <f t="shared" si="6"/>
        <v>0.36345532831001076</v>
      </c>
      <c r="AC43" s="27" t="s">
        <v>257</v>
      </c>
    </row>
    <row r="44" spans="1:30" ht="15.95">
      <c r="A44" s="85" t="s">
        <v>97</v>
      </c>
      <c r="C44" s="86">
        <v>185</v>
      </c>
      <c r="D44" t="s">
        <v>209</v>
      </c>
      <c r="E44" s="9">
        <v>7</v>
      </c>
      <c r="F44" s="86" t="s">
        <v>24</v>
      </c>
      <c r="G44" s="88" t="str">
        <f t="shared" si="7"/>
        <v>DP6</v>
      </c>
      <c r="H44" s="89">
        <v>46</v>
      </c>
      <c r="I44" s="89">
        <v>4.5940000000000003</v>
      </c>
      <c r="J44" s="90">
        <v>86.26</v>
      </c>
      <c r="K44" s="90">
        <v>492.75</v>
      </c>
      <c r="L44" s="15" t="s">
        <v>25</v>
      </c>
      <c r="M44" s="15">
        <v>66</v>
      </c>
      <c r="N44" s="15">
        <v>4.9400000000000004</v>
      </c>
      <c r="O44" s="15">
        <v>58.03</v>
      </c>
      <c r="P44" s="15">
        <v>977.72</v>
      </c>
      <c r="Q44" s="15" t="s">
        <v>140</v>
      </c>
      <c r="R44" s="18">
        <v>11</v>
      </c>
      <c r="S44" s="18">
        <v>3.972</v>
      </c>
      <c r="T44" s="19">
        <v>91.27</v>
      </c>
      <c r="U44" s="19">
        <v>112.27</v>
      </c>
      <c r="V44" s="47">
        <f t="shared" si="5"/>
        <v>4.3889730114901582</v>
      </c>
      <c r="W44" s="62" t="s">
        <v>25</v>
      </c>
      <c r="X44" s="62">
        <v>66</v>
      </c>
      <c r="Y44" s="62">
        <v>4.9400000000000004</v>
      </c>
      <c r="Z44" s="62">
        <v>58.03</v>
      </c>
      <c r="AA44" s="62">
        <v>977.72</v>
      </c>
      <c r="AB44" s="42">
        <f t="shared" si="6"/>
        <v>0.5039786441926114</v>
      </c>
    </row>
    <row r="45" spans="1:30" ht="15.75" customHeight="1">
      <c r="A45" s="85" t="s">
        <v>98</v>
      </c>
      <c r="B45"/>
      <c r="C45" s="85" t="s">
        <v>125</v>
      </c>
      <c r="D45" s="85" t="s">
        <v>243</v>
      </c>
      <c r="E45" t="s">
        <v>92</v>
      </c>
      <c r="F45" s="85" t="s">
        <v>24</v>
      </c>
      <c r="G45" s="92" t="s">
        <v>25</v>
      </c>
      <c r="H45" s="92">
        <v>522</v>
      </c>
      <c r="I45" s="92">
        <v>4.0419999999999998</v>
      </c>
      <c r="J45" s="92">
        <v>98.72</v>
      </c>
      <c r="K45" s="92">
        <v>4989.0600000000004</v>
      </c>
      <c r="AC45" s="27" t="s">
        <v>256</v>
      </c>
      <c r="AD45" s="9" t="s">
        <v>79</v>
      </c>
    </row>
    <row r="46" spans="1:30" ht="15.75" customHeight="1">
      <c r="A46" s="85" t="s">
        <v>99</v>
      </c>
      <c r="B46"/>
      <c r="C46" s="85" t="s">
        <v>125</v>
      </c>
      <c r="D46" s="85" t="s">
        <v>243</v>
      </c>
      <c r="E46" t="s">
        <v>92</v>
      </c>
      <c r="F46" s="85" t="s">
        <v>24</v>
      </c>
      <c r="G46" s="92" t="s">
        <v>25</v>
      </c>
      <c r="H46" s="92">
        <v>244</v>
      </c>
      <c r="I46" s="92">
        <v>4.9569999999999999</v>
      </c>
      <c r="J46" s="92">
        <v>42.36</v>
      </c>
      <c r="K46" s="92">
        <v>5070.6400000000003</v>
      </c>
      <c r="AC46" s="27" t="s">
        <v>256</v>
      </c>
      <c r="AD46" s="9" t="s">
        <v>79</v>
      </c>
    </row>
    <row r="47" spans="1:30" ht="15.75" customHeight="1">
      <c r="A47" s="85" t="s">
        <v>100</v>
      </c>
      <c r="B47"/>
      <c r="C47" s="85" t="s">
        <v>125</v>
      </c>
      <c r="D47" s="85" t="s">
        <v>243</v>
      </c>
      <c r="E47" t="s">
        <v>92</v>
      </c>
      <c r="F47" s="85" t="s">
        <v>24</v>
      </c>
      <c r="G47" s="92" t="s">
        <v>25</v>
      </c>
      <c r="H47" s="92">
        <v>246</v>
      </c>
      <c r="I47" s="92">
        <v>4.83</v>
      </c>
      <c r="J47" s="92">
        <v>44.03</v>
      </c>
      <c r="K47" s="92">
        <v>4954.8999999999996</v>
      </c>
      <c r="AC47" s="27" t="s">
        <v>256</v>
      </c>
      <c r="AD47" s="9" t="s">
        <v>79</v>
      </c>
    </row>
    <row r="48" spans="1:30" ht="15.75" customHeight="1">
      <c r="A48" s="85"/>
      <c r="B48" s="85"/>
      <c r="C48" s="85"/>
      <c r="D48" s="85"/>
      <c r="E48" s="85"/>
      <c r="F48" s="85"/>
    </row>
    <row r="49" spans="1:28" ht="15.75" customHeight="1">
      <c r="D49"/>
      <c r="AB49" s="42" cm="1">
        <f t="array" ref="AB49">GEOMEAN(AB6:AB8,IF(AB14:AB32 &gt;0, AB14:AB32))</f>
        <v>0.47767026190979844</v>
      </c>
    </row>
    <row r="50" spans="1:28" ht="15.75" customHeight="1">
      <c r="D50"/>
      <c r="AB50" s="42" cm="1">
        <f t="array" ref="AB50">GEOMEAN(AB6:AB8,IF(AB13:AB33 &gt;0, AB13:AB33))</f>
        <v>0.48971755662398259</v>
      </c>
    </row>
    <row r="51" spans="1:28" ht="15.75" customHeight="1">
      <c r="D51"/>
      <c r="AB51" s="42" cm="1">
        <f t="array" ref="AB51">GEOMEAN(IF(AB39:AB41 &gt;0, AB39:AB41),AB44)</f>
        <v>0.58942755825797721</v>
      </c>
    </row>
    <row r="52" spans="1:28" ht="15.75" customHeight="1">
      <c r="D52"/>
    </row>
    <row r="55" spans="1:28" ht="15.75" customHeight="1">
      <c r="A55" s="53" t="s">
        <v>258</v>
      </c>
    </row>
  </sheetData>
  <mergeCells count="7">
    <mergeCell ref="W3:Z3"/>
    <mergeCell ref="H1:K2"/>
    <mergeCell ref="L1:Q2"/>
    <mergeCell ref="A3:A4"/>
    <mergeCell ref="G3:K3"/>
    <mergeCell ref="L3:O3"/>
    <mergeCell ref="R3:U3"/>
  </mergeCells>
  <hyperlinks>
    <hyperlink ref="Q4" r:id="rId1" display="https://jira.devtools.intel.com/browse/SGLANGT-496" xr:uid="{65A6A75A-245F-4027-9BF5-6793AE6F123B}"/>
    <hyperlink ref="AC12" r:id="rId2" xr:uid="{AE2B071B-07EC-4575-AEF4-0AA1515E7E8C}"/>
    <hyperlink ref="AC13" r:id="rId3" xr:uid="{AD805C35-8ACF-474C-843A-746F802271F6}"/>
    <hyperlink ref="AC9" r:id="rId4" xr:uid="{A9C90F42-A9AF-4FF2-8623-DD239FA66C4C}"/>
    <hyperlink ref="AC36" r:id="rId5" xr:uid="{072703A2-67F1-4442-986A-864583A54AFF}"/>
    <hyperlink ref="AC37" r:id="rId6" xr:uid="{2695150B-5441-41EC-8884-1EA43CEAB549}"/>
    <hyperlink ref="AC42" r:id="rId7" xr:uid="{74B330AF-79BC-42F2-87D3-15C4793376F9}"/>
    <hyperlink ref="AC43" r:id="rId8" xr:uid="{188A17C2-4586-4FB7-B479-738A7085E8B1}"/>
    <hyperlink ref="AC19" r:id="rId9" xr:uid="{EED1EDF9-5253-4429-B363-D04950F4D3FC}"/>
    <hyperlink ref="AC21" r:id="rId10" xr:uid="{66F8CF90-7857-4619-8C44-DDECE73E200E}"/>
    <hyperlink ref="AC22" r:id="rId11" xr:uid="{2F49ED80-E4C2-452B-B803-57DB4BA7C475}"/>
    <hyperlink ref="AC31" r:id="rId12" xr:uid="{390C6935-F3BA-4A9E-BCFA-750FF9DBAC8A}"/>
    <hyperlink ref="AC45" r:id="rId13" xr:uid="{DBBCF0F6-DD3A-44EE-9A21-B65EBD9324B6}"/>
    <hyperlink ref="AC46" r:id="rId14" xr:uid="{C50CE973-182A-42A2-B4A6-6BE4EE17274E}"/>
    <hyperlink ref="AC47" r:id="rId15" xr:uid="{FC100A73-176F-437C-9D1A-7411247B6455}"/>
    <hyperlink ref="AC38" r:id="rId16" xr:uid="{A6EF8D14-0F28-4D0C-B000-67D8F81B57CC}"/>
    <hyperlink ref="AC23" r:id="rId17" xr:uid="{14657BE0-754D-440D-8E66-030DE1DE78FB}"/>
    <hyperlink ref="AC17" r:id="rId18" xr:uid="{A2F1DF2B-A624-4ADB-ADA7-E1822C81631A}"/>
    <hyperlink ref="AC10" r:id="rId19" xr:uid="{876C7174-A2DD-42F3-97B4-EF478BB842E7}"/>
    <hyperlink ref="AC11" r:id="rId20" xr:uid="{BE9CF158-8DE6-47B6-95A9-1E5716A1D47B}"/>
    <hyperlink ref="AC14" r:id="rId21" xr:uid="{3BD9BEC3-F62A-4887-882F-990749FEE725}"/>
  </hyperlinks>
  <pageMargins left="0.7" right="0.7" top="0.75" bottom="0.75" header="0.3" footer="0.3"/>
  <legacy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7294-79B3-4E69-BC3E-C826D0CE796A}">
  <dimension ref="A1:AD55"/>
  <sheetViews>
    <sheetView topLeftCell="S1" zoomScale="71" zoomScaleNormal="71" workbookViewId="0">
      <selection activeCell="AC10" sqref="AC10"/>
    </sheetView>
  </sheetViews>
  <sheetFormatPr defaultColWidth="11" defaultRowHeight="15.75" customHeight="1"/>
  <cols>
    <col min="1" max="1" width="48.125" style="7" customWidth="1"/>
    <col min="2" max="2" width="30.625" style="9" customWidth="1"/>
    <col min="3" max="3" width="9.875" style="9" customWidth="1"/>
    <col min="4" max="4" width="57.125" style="7" customWidth="1"/>
    <col min="5" max="5" width="13.625" style="9" customWidth="1"/>
    <col min="6" max="6" width="15.375" style="9" customWidth="1"/>
    <col min="7" max="7" width="13" style="9" customWidth="1"/>
    <col min="8" max="8" width="11.125" style="9" customWidth="1"/>
    <col min="9" max="9" width="23.375" style="9" customWidth="1"/>
    <col min="10" max="11" width="14.625" style="9" customWidth="1"/>
    <col min="12" max="12" width="11" style="9" customWidth="1"/>
    <col min="13" max="13" width="11.625" style="9" customWidth="1"/>
    <col min="14" max="15" width="11" style="9" customWidth="1"/>
    <col min="16" max="16" width="16.875" style="9" customWidth="1"/>
    <col min="17" max="17" width="38.125" style="9" customWidth="1"/>
    <col min="18" max="20" width="9" style="9" customWidth="1"/>
    <col min="21" max="21" width="16.125" style="9" customWidth="1"/>
    <col min="22" max="22" width="28.125" style="9" customWidth="1"/>
    <col min="23" max="27" width="9" style="9" bestFit="1" customWidth="1"/>
    <col min="28" max="28" width="23.625" style="9" bestFit="1" customWidth="1"/>
    <col min="29" max="16384" width="11" style="9"/>
  </cols>
  <sheetData>
    <row r="1" spans="1:30" ht="38.25" customHeight="1">
      <c r="A1" s="6" t="s">
        <v>103</v>
      </c>
      <c r="B1" s="14"/>
      <c r="E1" s="9" t="s">
        <v>104</v>
      </c>
      <c r="F1" s="9" t="s">
        <v>105</v>
      </c>
      <c r="G1" s="9" t="s">
        <v>106</v>
      </c>
      <c r="H1" s="257" t="s">
        <v>107</v>
      </c>
      <c r="I1" s="258"/>
      <c r="J1" s="258"/>
      <c r="K1" s="258"/>
      <c r="L1" s="257" t="s">
        <v>108</v>
      </c>
      <c r="M1" s="258"/>
      <c r="N1" s="258"/>
      <c r="O1" s="258"/>
      <c r="P1" s="258"/>
      <c r="Q1" s="258"/>
    </row>
    <row r="2" spans="1:30" ht="65.25" customHeight="1">
      <c r="H2" s="258"/>
      <c r="I2" s="258"/>
      <c r="J2" s="258"/>
      <c r="K2" s="258"/>
      <c r="L2" s="258"/>
      <c r="M2" s="258"/>
      <c r="N2" s="258"/>
      <c r="O2" s="258"/>
      <c r="P2" s="258"/>
      <c r="Q2" s="258"/>
    </row>
    <row r="3" spans="1:30" ht="15.75" customHeight="1">
      <c r="A3" s="264" t="s">
        <v>6</v>
      </c>
      <c r="B3" s="51"/>
      <c r="C3" s="51"/>
      <c r="D3" s="45"/>
      <c r="G3" s="259" t="s">
        <v>109</v>
      </c>
      <c r="H3" s="260"/>
      <c r="I3" s="260"/>
      <c r="J3" s="260"/>
      <c r="K3" s="261"/>
      <c r="L3" s="263" t="s">
        <v>110</v>
      </c>
      <c r="M3" s="263"/>
      <c r="N3" s="263"/>
      <c r="O3" s="263"/>
      <c r="P3" s="52"/>
      <c r="Q3" s="15"/>
      <c r="R3" s="259" t="s">
        <v>211</v>
      </c>
      <c r="S3" s="260"/>
      <c r="T3" s="260"/>
      <c r="U3" s="260"/>
      <c r="W3" s="263" t="s">
        <v>110</v>
      </c>
      <c r="X3" s="263"/>
      <c r="Y3" s="263"/>
      <c r="Z3" s="263"/>
      <c r="AA3" s="52"/>
    </row>
    <row r="4" spans="1:30" ht="15.75" customHeight="1">
      <c r="A4" s="264"/>
      <c r="B4" s="51"/>
      <c r="C4" s="14" t="s">
        <v>111</v>
      </c>
      <c r="D4" s="6" t="s">
        <v>112</v>
      </c>
      <c r="E4" s="51" t="s">
        <v>113</v>
      </c>
      <c r="F4" s="51" t="s">
        <v>9</v>
      </c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52" t="s">
        <v>10</v>
      </c>
      <c r="M4" s="52" t="s">
        <v>11</v>
      </c>
      <c r="N4" s="52" t="s">
        <v>12</v>
      </c>
      <c r="O4" s="52" t="s">
        <v>13</v>
      </c>
      <c r="P4" s="52" t="s">
        <v>114</v>
      </c>
      <c r="Q4" s="16" t="s">
        <v>115</v>
      </c>
      <c r="R4" s="2" t="s">
        <v>11</v>
      </c>
      <c r="S4" s="2" t="s">
        <v>12</v>
      </c>
      <c r="T4" s="3" t="s">
        <v>13</v>
      </c>
      <c r="U4" s="3" t="s">
        <v>114</v>
      </c>
      <c r="V4" s="3" t="s">
        <v>212</v>
      </c>
      <c r="W4" s="52" t="s">
        <v>10</v>
      </c>
      <c r="X4" s="52" t="s">
        <v>11</v>
      </c>
      <c r="Y4" s="52" t="s">
        <v>12</v>
      </c>
      <c r="Z4" s="52" t="s">
        <v>13</v>
      </c>
      <c r="AA4" s="52" t="s">
        <v>114</v>
      </c>
      <c r="AB4" s="9" t="s">
        <v>213</v>
      </c>
      <c r="AC4" s="9" t="s">
        <v>242</v>
      </c>
      <c r="AD4" s="9" t="s">
        <v>19</v>
      </c>
    </row>
    <row r="5" spans="1:30" ht="15.75" customHeight="1">
      <c r="A5" s="45"/>
      <c r="B5" s="51"/>
      <c r="E5" s="51" t="s">
        <v>116</v>
      </c>
      <c r="F5" s="51" t="s">
        <v>117</v>
      </c>
      <c r="G5" s="2"/>
      <c r="H5" s="2"/>
      <c r="I5" s="2"/>
      <c r="J5" s="3"/>
      <c r="K5" s="3"/>
      <c r="L5" s="15"/>
      <c r="M5" s="52"/>
      <c r="N5" s="52"/>
      <c r="O5" s="52"/>
      <c r="P5" s="52"/>
      <c r="Q5" s="15"/>
      <c r="R5" s="2"/>
      <c r="S5" s="2"/>
      <c r="T5" s="3"/>
      <c r="U5" s="3"/>
      <c r="W5" s="15"/>
      <c r="X5" s="52"/>
      <c r="Y5" s="52"/>
      <c r="Z5" s="52"/>
      <c r="AA5" s="52"/>
    </row>
    <row r="6" spans="1:30" ht="15.75" customHeight="1">
      <c r="A6" s="85" t="s">
        <v>22</v>
      </c>
      <c r="C6" s="86">
        <v>185</v>
      </c>
      <c r="D6" t="s">
        <v>118</v>
      </c>
      <c r="E6" s="9" cm="1">
        <f t="array" ref="E6">_xlfn.LET(
_xlpm.x,LOWER(A6),
_xlpm.parts,_xlfn.TEXTSPLIT(_xlpm.x,"-"),
VALUE(_xlfn.TEXTBEFORE(INDEX(_xlfn._xlws.FILTER(_xlpm.parts,ISNUMBER(SEARCH("b",_xlpm.parts))),1),"b"))
)</f>
        <v>8</v>
      </c>
      <c r="F6" s="86" t="s">
        <v>24</v>
      </c>
      <c r="G6" s="17" t="str">
        <f>IF(E6&lt;10,"DP6",IF(E6&lt;=30,"TP2DP2","TP4"))</f>
        <v>DP6</v>
      </c>
      <c r="H6" s="113">
        <v>46</v>
      </c>
      <c r="I6" s="113">
        <v>4.7850000000000001</v>
      </c>
      <c r="J6" s="114">
        <v>86.03</v>
      </c>
      <c r="K6" s="114">
        <v>501.76</v>
      </c>
      <c r="L6" s="15" t="s">
        <v>25</v>
      </c>
      <c r="M6" s="15">
        <v>63</v>
      </c>
      <c r="N6" s="15">
        <v>4.9889999999999999</v>
      </c>
      <c r="O6" s="15">
        <v>95.25</v>
      </c>
      <c r="P6" s="15">
        <v>611.57000000000005</v>
      </c>
      <c r="Q6" s="15"/>
      <c r="R6" s="18">
        <v>11</v>
      </c>
      <c r="S6" s="18">
        <v>4.7469999999999999</v>
      </c>
      <c r="T6" s="19">
        <v>85.42</v>
      </c>
      <c r="U6" s="19">
        <v>119.54</v>
      </c>
      <c r="V6" s="42">
        <f t="shared" ref="V6:V19" si="0">K6/U6</f>
        <v>4.1974234565835697</v>
      </c>
      <c r="W6" s="61" t="s">
        <v>25</v>
      </c>
      <c r="X6" s="61">
        <v>63</v>
      </c>
      <c r="Y6" s="61">
        <v>4885.2299999999996</v>
      </c>
      <c r="Z6" s="61">
        <v>95.4</v>
      </c>
      <c r="AA6" s="61">
        <v>645.95000000000005</v>
      </c>
      <c r="AB6" s="42">
        <f t="shared" ref="AB6:AB19" si="1">K6/AA6</f>
        <v>0.77677838842015634</v>
      </c>
    </row>
    <row r="7" spans="1:30" ht="15.75" customHeight="1">
      <c r="A7" s="85" t="s">
        <v>29</v>
      </c>
      <c r="C7" s="86">
        <v>185</v>
      </c>
      <c r="D7" t="s">
        <v>119</v>
      </c>
      <c r="E7" s="9" cm="1">
        <f t="array" ref="E7">_xlfn.LET(
_xlpm.x,LOWER(A7),
_xlpm.parts,_xlfn.TEXTSPLIT(_xlpm.x,"-"),
VALUE(_xlfn.TEXTBEFORE(INDEX(_xlfn._xlws.FILTER(_xlpm.parts,ISNUMBER(SEARCH("b",_xlpm.parts))),1),"b"))
)</f>
        <v>1</v>
      </c>
      <c r="F7" s="86" t="s">
        <v>24</v>
      </c>
      <c r="G7" s="17" t="str">
        <f>IF(E7&lt;10,"DP6",IF(E7&lt;=30,"TP2DP2","TP4"))</f>
        <v>DP6</v>
      </c>
      <c r="H7" s="113">
        <v>536</v>
      </c>
      <c r="I7" s="113">
        <v>4.9390000000000001</v>
      </c>
      <c r="J7" s="114">
        <v>57.29</v>
      </c>
      <c r="K7" s="114">
        <v>8501.11</v>
      </c>
      <c r="L7" s="15" t="s">
        <v>25</v>
      </c>
      <c r="M7" s="15">
        <v>546</v>
      </c>
      <c r="N7" s="15">
        <v>4.9109999999999996</v>
      </c>
      <c r="O7" s="15">
        <v>80.2</v>
      </c>
      <c r="P7" s="15">
        <v>5932.79</v>
      </c>
      <c r="Q7" s="15"/>
      <c r="R7" s="18">
        <v>31</v>
      </c>
      <c r="S7" s="18">
        <v>1.8080000000000001</v>
      </c>
      <c r="T7" s="19">
        <v>27.97</v>
      </c>
      <c r="U7" s="19">
        <v>973.71</v>
      </c>
      <c r="V7" s="42">
        <f t="shared" si="0"/>
        <v>8.7306384857914576</v>
      </c>
      <c r="W7" s="61" t="s">
        <v>25</v>
      </c>
      <c r="X7" s="61">
        <v>555</v>
      </c>
      <c r="Y7" s="61">
        <v>4859.08</v>
      </c>
      <c r="Z7" s="61">
        <v>82.11</v>
      </c>
      <c r="AA7" s="61">
        <v>6048.39</v>
      </c>
      <c r="AB7" s="42">
        <f t="shared" si="1"/>
        <v>1.4055161786855677</v>
      </c>
    </row>
    <row r="8" spans="1:30" ht="15.75" customHeight="1">
      <c r="A8" s="85" t="s">
        <v>30</v>
      </c>
      <c r="C8" s="86">
        <v>185</v>
      </c>
      <c r="D8" t="s">
        <v>120</v>
      </c>
      <c r="E8" s="9" cm="1">
        <f t="array" ref="E8">_xlfn.LET(
_xlpm.x,LOWER(A8),
_xlpm.parts,_xlfn.TEXTSPLIT(_xlpm.x,"-"),
VALUE(_xlfn.TEXTBEFORE(INDEX(_xlfn._xlws.FILTER(_xlpm.parts,ISNUMBER(SEARCH("b",_xlpm.parts))),1),"b"))
)</f>
        <v>3</v>
      </c>
      <c r="F8" s="86" t="s">
        <v>24</v>
      </c>
      <c r="G8" s="17" t="str">
        <f>IF(E8&lt;10,"DP6",IF(E8&lt;=30,"TP2DP2","TP4"))</f>
        <v>DP6</v>
      </c>
      <c r="H8" s="113">
        <v>96</v>
      </c>
      <c r="I8" s="113">
        <v>3.883</v>
      </c>
      <c r="J8" s="114">
        <v>98.55</v>
      </c>
      <c r="K8" s="114">
        <v>916.83</v>
      </c>
      <c r="L8" s="15" t="s">
        <v>25</v>
      </c>
      <c r="M8" s="15">
        <v>194</v>
      </c>
      <c r="N8" s="15">
        <v>4.9800000000000004</v>
      </c>
      <c r="O8" s="15">
        <v>90.76</v>
      </c>
      <c r="P8" s="15">
        <v>1897</v>
      </c>
      <c r="Q8" s="15"/>
      <c r="R8" s="18">
        <v>1</v>
      </c>
      <c r="S8" s="18">
        <v>0.38400000000000001</v>
      </c>
      <c r="T8" s="19">
        <v>73.42</v>
      </c>
      <c r="U8" s="19">
        <v>13.52</v>
      </c>
      <c r="V8" s="42">
        <f t="shared" si="0"/>
        <v>67.812869822485212</v>
      </c>
      <c r="W8" s="61" t="s">
        <v>25</v>
      </c>
      <c r="X8" s="61">
        <v>200</v>
      </c>
      <c r="Y8" s="61">
        <v>4937.9799999999996</v>
      </c>
      <c r="Z8" s="61">
        <v>94.13</v>
      </c>
      <c r="AA8" s="61">
        <v>1917.47</v>
      </c>
      <c r="AB8" s="42">
        <f t="shared" si="1"/>
        <v>0.47814568154912462</v>
      </c>
    </row>
    <row r="9" spans="1:30" ht="15.75" customHeight="1">
      <c r="A9" s="85" t="s">
        <v>31</v>
      </c>
      <c r="B9" s="85"/>
      <c r="C9" s="85" t="s">
        <v>125</v>
      </c>
      <c r="D9" s="85" t="s">
        <v>243</v>
      </c>
      <c r="E9" s="54" cm="1">
        <f t="array" ref="E9">_xlfn.LET(
_xlpm.x,LOWER(A9),
_xlpm.parts,_xlfn.TEXTSPLIT(_xlpm.x,"-"),
VALUE(_xlfn.TEXTBEFORE(INDEX(_xlfn._xlws.FILTER(_xlpm.parts,ISNUMBER(SEARCH("b",_xlpm.parts))),1),"b"))
)</f>
        <v>70</v>
      </c>
      <c r="F9" s="54" t="s">
        <v>24</v>
      </c>
      <c r="G9" s="17" t="str">
        <f>IF(E9&lt;10,"DP6",IF(E9&lt;=30,"TP2DP2","TP4"))</f>
        <v>TP4</v>
      </c>
      <c r="H9" s="24">
        <v>1</v>
      </c>
      <c r="I9" s="97">
        <v>2.0529999999999999</v>
      </c>
      <c r="J9" s="97">
        <v>165.27</v>
      </c>
      <c r="K9" s="97">
        <v>5.98</v>
      </c>
      <c r="L9" s="23" t="s">
        <v>34</v>
      </c>
      <c r="M9" s="23">
        <v>1</v>
      </c>
      <c r="N9" s="23">
        <v>1.6579999999999999</v>
      </c>
      <c r="O9" s="23">
        <v>122.72</v>
      </c>
      <c r="P9" s="23">
        <v>8.0500000000000007</v>
      </c>
      <c r="Q9" s="15"/>
      <c r="R9" s="20">
        <v>1</v>
      </c>
      <c r="S9" s="21">
        <v>6.726</v>
      </c>
      <c r="T9" s="21">
        <v>604.42999999999995</v>
      </c>
      <c r="U9" s="22">
        <v>3.27</v>
      </c>
      <c r="V9" s="42">
        <f t="shared" si="0"/>
        <v>1.8287461773700306</v>
      </c>
      <c r="W9" s="61" t="s">
        <v>34</v>
      </c>
      <c r="X9" s="61">
        <v>1</v>
      </c>
      <c r="Y9" s="61">
        <v>1693.11</v>
      </c>
      <c r="Z9" s="61">
        <v>123.14</v>
      </c>
      <c r="AA9" s="61">
        <v>8.02</v>
      </c>
      <c r="AB9" s="42">
        <f t="shared" si="1"/>
        <v>0.74563591022443898</v>
      </c>
      <c r="AC9" s="27" t="s">
        <v>244</v>
      </c>
    </row>
    <row r="10" spans="1:30" ht="15.95">
      <c r="A10" s="10" t="s">
        <v>36</v>
      </c>
      <c r="C10" s="9">
        <v>185</v>
      </c>
      <c r="D10" t="s">
        <v>243</v>
      </c>
      <c r="E10" s="9" cm="1">
        <f t="array" ref="E10">_xlfn.LET(
_xlpm.x,LOWER(A10),
_xlpm.parts,_xlfn.TEXTSPLIT(_xlpm.x,"-"),
VALUE(_xlfn.TEXTBEFORE(INDEX(_xlfn._xlws.FILTER(_xlpm.parts,ISNUMBER(SEARCH("b",_xlpm.parts))),1),"b"))
)</f>
        <v>17</v>
      </c>
      <c r="F10" s="9" t="s">
        <v>24</v>
      </c>
      <c r="G10" s="124" t="s">
        <v>32</v>
      </c>
      <c r="H10" s="99">
        <v>1</v>
      </c>
      <c r="I10" s="99">
        <v>29.471</v>
      </c>
      <c r="J10" s="100">
        <v>46554.99</v>
      </c>
      <c r="K10" s="100">
        <v>0.02</v>
      </c>
      <c r="L10" s="24" t="s">
        <v>34</v>
      </c>
      <c r="M10" s="24">
        <v>2</v>
      </c>
      <c r="N10" s="24">
        <v>1.2949999999999999</v>
      </c>
      <c r="O10" s="24">
        <v>97.04</v>
      </c>
      <c r="P10" s="24">
        <v>20.36</v>
      </c>
      <c r="Q10" s="24"/>
      <c r="R10" s="24"/>
      <c r="S10" s="24" t="s">
        <v>124</v>
      </c>
      <c r="T10" s="25"/>
      <c r="U10" s="25"/>
      <c r="V10" s="42" t="e">
        <f t="shared" si="0"/>
        <v>#DIV/0!</v>
      </c>
      <c r="W10" s="62" t="s">
        <v>34</v>
      </c>
      <c r="X10" s="62">
        <v>2</v>
      </c>
      <c r="Y10" s="62">
        <v>1.2949999999999999</v>
      </c>
      <c r="Z10" s="62">
        <v>97.04</v>
      </c>
      <c r="AA10" s="62">
        <v>20.36</v>
      </c>
      <c r="AB10" s="42">
        <f t="shared" si="1"/>
        <v>9.8231827111984298E-4</v>
      </c>
      <c r="AC10" s="27" t="s">
        <v>259</v>
      </c>
      <c r="AD10" s="9" t="s">
        <v>56</v>
      </c>
    </row>
    <row r="11" spans="1:30" ht="30" customHeight="1">
      <c r="A11" s="110" t="s">
        <v>40</v>
      </c>
      <c r="B11"/>
      <c r="C11" s="54" t="s">
        <v>125</v>
      </c>
      <c r="D11" t="s">
        <v>246</v>
      </c>
      <c r="E11" s="54" t="s">
        <v>24</v>
      </c>
      <c r="F11" s="54" t="s">
        <v>24</v>
      </c>
      <c r="G11" s="125" t="s">
        <v>32</v>
      </c>
      <c r="H11" s="111"/>
      <c r="I11" s="111"/>
      <c r="J11" s="111"/>
      <c r="K11" s="111"/>
      <c r="L11" s="65" t="s">
        <v>34</v>
      </c>
      <c r="M11" s="24">
        <v>8</v>
      </c>
      <c r="N11" s="24">
        <v>3.7770000000000001</v>
      </c>
      <c r="O11" s="24">
        <v>98.87</v>
      </c>
      <c r="P11" s="24">
        <v>78.069999999999993</v>
      </c>
      <c r="Q11" s="24"/>
      <c r="R11" s="24"/>
      <c r="S11" s="24" t="s">
        <v>124</v>
      </c>
      <c r="T11" s="25"/>
      <c r="U11" s="25"/>
      <c r="V11" s="42" t="e">
        <f t="shared" si="0"/>
        <v>#DIV/0!</v>
      </c>
      <c r="W11" s="62" t="s">
        <v>34</v>
      </c>
      <c r="X11" s="62">
        <v>8</v>
      </c>
      <c r="Y11" s="62">
        <v>3.7770000000000001</v>
      </c>
      <c r="Z11" s="62">
        <v>98.87</v>
      </c>
      <c r="AA11" s="62">
        <v>78.069999999999993</v>
      </c>
      <c r="AB11" s="42">
        <f t="shared" si="1"/>
        <v>0</v>
      </c>
      <c r="AC11" s="27" t="s">
        <v>247</v>
      </c>
    </row>
    <row r="12" spans="1:30" ht="15.75" customHeight="1">
      <c r="A12" s="85" t="s">
        <v>42</v>
      </c>
      <c r="B12" s="85"/>
      <c r="C12" s="85" t="s">
        <v>125</v>
      </c>
      <c r="D12" s="85" t="s">
        <v>246</v>
      </c>
      <c r="E12" s="54" t="s">
        <v>24</v>
      </c>
      <c r="F12" s="54" t="s">
        <v>24</v>
      </c>
      <c r="G12" s="126" t="s">
        <v>43</v>
      </c>
      <c r="H12" s="129">
        <v>1</v>
      </c>
      <c r="I12" s="129">
        <v>0.33800000000000002</v>
      </c>
      <c r="J12" s="129">
        <v>150.69</v>
      </c>
      <c r="K12" s="129">
        <v>6.57</v>
      </c>
      <c r="L12" s="26" t="s">
        <v>44</v>
      </c>
      <c r="M12" s="23">
        <v>1</v>
      </c>
      <c r="N12" s="23">
        <v>1.208</v>
      </c>
      <c r="O12" s="23">
        <v>103</v>
      </c>
      <c r="P12" s="23">
        <v>9.67</v>
      </c>
      <c r="Q12" s="15"/>
      <c r="R12" s="24">
        <v>1</v>
      </c>
      <c r="S12" s="24">
        <v>4.1349999999999998</v>
      </c>
      <c r="T12" s="25">
        <v>307441</v>
      </c>
      <c r="U12" s="25">
        <v>3.29</v>
      </c>
      <c r="V12" s="42">
        <f t="shared" si="0"/>
        <v>1.9969604863221886</v>
      </c>
      <c r="W12" s="61" t="s">
        <v>44</v>
      </c>
      <c r="X12" s="57">
        <v>1</v>
      </c>
      <c r="Y12" s="57">
        <v>1171.8699999999999</v>
      </c>
      <c r="Z12" s="57">
        <v>102.5</v>
      </c>
      <c r="AA12" s="57">
        <v>9.66</v>
      </c>
      <c r="AB12" s="42">
        <f t="shared" si="1"/>
        <v>0.68012422360248448</v>
      </c>
      <c r="AC12" s="27" t="s">
        <v>260</v>
      </c>
    </row>
    <row r="13" spans="1:30" ht="15.75" customHeight="1">
      <c r="A13" s="85" t="s">
        <v>46</v>
      </c>
      <c r="B13" s="85"/>
      <c r="C13" s="85" t="s">
        <v>125</v>
      </c>
      <c r="D13" s="85" t="s">
        <v>246</v>
      </c>
      <c r="E13" s="54" t="s">
        <v>24</v>
      </c>
      <c r="F13" s="54" t="s">
        <v>24</v>
      </c>
      <c r="G13" s="101" t="s">
        <v>32</v>
      </c>
      <c r="H13" s="101">
        <v>1</v>
      </c>
      <c r="I13" s="101">
        <v>1.2410000000000001</v>
      </c>
      <c r="J13" s="101">
        <v>85.72</v>
      </c>
      <c r="K13" s="101">
        <v>11.51</v>
      </c>
      <c r="L13" s="26" t="s">
        <v>34</v>
      </c>
      <c r="M13" s="15">
        <v>2</v>
      </c>
      <c r="N13" s="15">
        <v>1.6160000000000001</v>
      </c>
      <c r="O13" s="15">
        <v>84.01</v>
      </c>
      <c r="P13" s="15">
        <v>23.39</v>
      </c>
      <c r="Q13" s="15"/>
      <c r="R13" s="24">
        <v>1</v>
      </c>
      <c r="S13" s="24">
        <v>3.5310000000000001</v>
      </c>
      <c r="T13" s="25">
        <v>247.66</v>
      </c>
      <c r="U13" s="25">
        <v>7.98</v>
      </c>
      <c r="V13" s="42">
        <f t="shared" si="0"/>
        <v>1.4423558897243107</v>
      </c>
      <c r="W13" s="61" t="s">
        <v>34</v>
      </c>
      <c r="X13" s="57">
        <v>2</v>
      </c>
      <c r="Y13" s="57">
        <v>1752.57</v>
      </c>
      <c r="Z13" s="57">
        <v>83.59</v>
      </c>
      <c r="AA13" s="57">
        <v>23.46</v>
      </c>
      <c r="AB13" s="42">
        <f t="shared" si="1"/>
        <v>0.49062233589087806</v>
      </c>
      <c r="AC13" s="27" t="s">
        <v>248</v>
      </c>
    </row>
    <row r="14" spans="1:30" ht="15.75" customHeight="1">
      <c r="A14" s="85" t="s">
        <v>47</v>
      </c>
      <c r="B14" s="9" t="s">
        <v>48</v>
      </c>
      <c r="C14" s="9">
        <v>185</v>
      </c>
      <c r="D14" t="s">
        <v>243</v>
      </c>
      <c r="E14" s="9" cm="1">
        <f t="array" ref="E14">_xlfn.LET(
_xlpm.x,LOWER(A14),
_xlpm.parts,_xlfn.TEXTSPLIT(_xlpm.x,"-"),
VALUE(_xlfn.TEXTBEFORE(INDEX(_xlfn._xlws.FILTER(_xlpm.parts,ISNUMBER(SEARCH("b",_xlpm.parts))),1),"b"))
)</f>
        <v>11</v>
      </c>
      <c r="F14" s="9" t="s">
        <v>24</v>
      </c>
      <c r="G14" s="17" t="str">
        <f>IF(E14&lt;10,"DP6",IF(E14&lt;=30,"TP2DP2","TP4"))</f>
        <v>TP2DP2</v>
      </c>
      <c r="H14" s="24" t="s">
        <v>49</v>
      </c>
      <c r="I14" s="24"/>
      <c r="J14" s="24"/>
      <c r="K14" s="24"/>
      <c r="L14" s="98" t="s">
        <v>44</v>
      </c>
      <c r="M14" s="15">
        <v>8</v>
      </c>
      <c r="N14" s="15">
        <v>4.8209999999999997</v>
      </c>
      <c r="O14" s="15">
        <v>59.2</v>
      </c>
      <c r="P14" s="15">
        <v>125.27</v>
      </c>
      <c r="Q14" s="15"/>
      <c r="R14" s="24"/>
      <c r="S14" s="24" t="s">
        <v>49</v>
      </c>
      <c r="T14" s="25"/>
      <c r="U14" s="25"/>
      <c r="V14" s="42" t="e">
        <f t="shared" si="0"/>
        <v>#DIV/0!</v>
      </c>
      <c r="W14" s="62" t="s">
        <v>44</v>
      </c>
      <c r="X14" s="62">
        <v>8</v>
      </c>
      <c r="Y14" s="62">
        <v>4.8209999999999997</v>
      </c>
      <c r="Z14" s="62">
        <v>59.2</v>
      </c>
      <c r="AA14" s="62">
        <v>125.27</v>
      </c>
      <c r="AB14" s="42">
        <f t="shared" si="1"/>
        <v>0</v>
      </c>
      <c r="AC14" s="27" t="s">
        <v>50</v>
      </c>
    </row>
    <row r="15" spans="1:30" ht="15.75" customHeight="1">
      <c r="A15" s="85" t="s">
        <v>51</v>
      </c>
      <c r="C15" s="86">
        <v>185</v>
      </c>
      <c r="D15" t="s">
        <v>133</v>
      </c>
      <c r="E15" s="9">
        <v>3</v>
      </c>
      <c r="F15" s="86" t="s">
        <v>24</v>
      </c>
      <c r="G15" s="112" t="str">
        <f>IF(E15&lt;10,"DP6",IF(E15&lt;=30,"TP2DP2","TP4"))</f>
        <v>DP6</v>
      </c>
      <c r="H15" s="112">
        <v>136</v>
      </c>
      <c r="I15" s="112">
        <v>3.6230000000000002</v>
      </c>
      <c r="J15" s="115">
        <v>99.5</v>
      </c>
      <c r="K15" s="115">
        <v>1318.21</v>
      </c>
      <c r="L15" s="15" t="s">
        <v>25</v>
      </c>
      <c r="M15" s="15">
        <v>640</v>
      </c>
      <c r="N15" s="29">
        <v>3.4249999999999998</v>
      </c>
      <c r="O15" s="29">
        <v>99.81</v>
      </c>
      <c r="P15" s="29">
        <v>5575.87</v>
      </c>
      <c r="Q15" s="15"/>
      <c r="R15" s="17">
        <v>26</v>
      </c>
      <c r="S15" s="17">
        <v>0.74</v>
      </c>
      <c r="T15" s="28">
        <v>29.51</v>
      </c>
      <c r="U15" s="28">
        <v>758.29</v>
      </c>
      <c r="V15" s="42">
        <f t="shared" si="0"/>
        <v>1.7383982381410807</v>
      </c>
      <c r="W15" s="62" t="s">
        <v>25</v>
      </c>
      <c r="X15" s="62">
        <v>640</v>
      </c>
      <c r="Y15" s="62">
        <v>3.4249999999999998</v>
      </c>
      <c r="Z15" s="62">
        <v>99.81</v>
      </c>
      <c r="AA15" s="62">
        <v>5575.87</v>
      </c>
      <c r="AB15" s="42">
        <f t="shared" si="1"/>
        <v>0.2364133310138149</v>
      </c>
    </row>
    <row r="16" spans="1:30" ht="15.75" customHeight="1">
      <c r="A16" s="85" t="s">
        <v>52</v>
      </c>
      <c r="B16"/>
      <c r="C16" s="85" t="s">
        <v>125</v>
      </c>
      <c r="D16" t="s">
        <v>134</v>
      </c>
      <c r="E16" t="s">
        <v>24</v>
      </c>
      <c r="F16" s="85" t="s">
        <v>24</v>
      </c>
      <c r="G16" s="101" t="s">
        <v>25</v>
      </c>
      <c r="H16" s="34">
        <v>16</v>
      </c>
      <c r="I16" s="34">
        <v>4.548</v>
      </c>
      <c r="J16" s="35">
        <v>53.34</v>
      </c>
      <c r="K16" s="35">
        <v>277.14</v>
      </c>
      <c r="L16" s="26" t="s">
        <v>25</v>
      </c>
      <c r="M16" s="15">
        <v>152</v>
      </c>
      <c r="N16" s="15">
        <v>4.9870000000000001</v>
      </c>
      <c r="O16" s="15">
        <v>84.07</v>
      </c>
      <c r="P16" s="15">
        <v>1600.89</v>
      </c>
      <c r="Q16" s="15"/>
      <c r="R16" s="17">
        <v>21</v>
      </c>
      <c r="S16" s="17">
        <v>4.3019999999999996</v>
      </c>
      <c r="T16" s="28">
        <v>71.06</v>
      </c>
      <c r="U16" s="28">
        <v>278.36</v>
      </c>
      <c r="V16" s="42">
        <f t="shared" si="0"/>
        <v>0.99561718637735297</v>
      </c>
      <c r="W16" s="62" t="s">
        <v>25</v>
      </c>
      <c r="X16" s="62">
        <v>152</v>
      </c>
      <c r="Y16" s="62">
        <v>4.9870000000000001</v>
      </c>
      <c r="Z16" s="62">
        <v>84.07</v>
      </c>
      <c r="AA16" s="62">
        <v>1600.89</v>
      </c>
      <c r="AB16" s="42">
        <f t="shared" si="1"/>
        <v>0.17311620411146297</v>
      </c>
    </row>
    <row r="17" spans="1:30" ht="15.75" customHeight="1">
      <c r="A17" s="10" t="s">
        <v>54</v>
      </c>
      <c r="B17" s="9" t="s">
        <v>249</v>
      </c>
      <c r="C17" s="9">
        <v>185</v>
      </c>
      <c r="D17" t="s">
        <v>243</v>
      </c>
      <c r="E17" s="9" cm="1">
        <f t="array" ref="E17">_xlfn.LET(
_xlpm.x,LOWER(A17),
_xlpm.parts,_xlfn.TEXTSPLIT(_xlpm.x,"-"),
VALUE(_xlfn.TEXTBEFORE(INDEX(_xlfn._xlws.FILTER(_xlpm.parts,ISNUMBER(SEARCH("b",_xlpm.parts))),1),"b"))
)</f>
        <v>12</v>
      </c>
      <c r="F17" s="9" t="s">
        <v>24</v>
      </c>
      <c r="G17" s="17" t="str">
        <f>IF(E17&lt;10,"DP6",IF(E17&lt;=30,"TP2DP2","TP4"))</f>
        <v>TP2DP2</v>
      </c>
      <c r="H17" s="24">
        <v>1</v>
      </c>
      <c r="I17" s="24">
        <v>122.15</v>
      </c>
      <c r="J17" s="24">
        <v>9250.98</v>
      </c>
      <c r="K17" s="24">
        <v>0.08</v>
      </c>
      <c r="L17" s="98" t="s">
        <v>44</v>
      </c>
      <c r="M17" s="15">
        <v>22</v>
      </c>
      <c r="N17" s="15">
        <v>1.806</v>
      </c>
      <c r="O17" s="15">
        <v>99.77</v>
      </c>
      <c r="P17" s="15">
        <v>210.46</v>
      </c>
      <c r="Q17" s="15" t="s">
        <v>136</v>
      </c>
      <c r="R17" s="24">
        <v>1</v>
      </c>
      <c r="S17" s="24">
        <v>1.4550000000000001</v>
      </c>
      <c r="T17" s="25">
        <v>130.31</v>
      </c>
      <c r="U17" s="25">
        <v>15.2</v>
      </c>
      <c r="V17" s="42">
        <f t="shared" si="0"/>
        <v>5.2631578947368429E-3</v>
      </c>
      <c r="W17" s="62" t="s">
        <v>44</v>
      </c>
      <c r="X17" s="62">
        <v>22</v>
      </c>
      <c r="Y17" s="62">
        <v>1.806</v>
      </c>
      <c r="Z17" s="62">
        <v>99.77</v>
      </c>
      <c r="AA17" s="62">
        <v>210.46</v>
      </c>
      <c r="AB17" s="42">
        <f t="shared" si="1"/>
        <v>3.80119737717381E-4</v>
      </c>
      <c r="AC17" s="27" t="s">
        <v>250</v>
      </c>
      <c r="AD17" s="9" t="s">
        <v>56</v>
      </c>
    </row>
    <row r="18" spans="1:30" ht="15.75" customHeight="1">
      <c r="A18" s="85" t="s">
        <v>57</v>
      </c>
      <c r="B18"/>
      <c r="C18" s="85" t="s">
        <v>125</v>
      </c>
      <c r="D18" t="s">
        <v>138</v>
      </c>
      <c r="E18" t="s">
        <v>24</v>
      </c>
      <c r="F18" s="85" t="s">
        <v>24</v>
      </c>
      <c r="G18" s="116" t="s">
        <v>25</v>
      </c>
      <c r="H18" s="117">
        <v>16</v>
      </c>
      <c r="I18" s="117">
        <v>1.833</v>
      </c>
      <c r="J18" s="118">
        <v>98.61</v>
      </c>
      <c r="K18" s="118">
        <v>156.93</v>
      </c>
      <c r="L18" s="26" t="s">
        <v>25</v>
      </c>
      <c r="M18" s="15">
        <v>14</v>
      </c>
      <c r="N18" s="15">
        <v>1.66</v>
      </c>
      <c r="O18" s="15">
        <v>96.69</v>
      </c>
      <c r="P18" s="15">
        <v>131.36000000000001</v>
      </c>
      <c r="Q18" s="15"/>
      <c r="R18" s="17">
        <v>1</v>
      </c>
      <c r="S18" s="17">
        <v>1.056</v>
      </c>
      <c r="T18" s="28">
        <v>93.69</v>
      </c>
      <c r="U18" s="28">
        <v>10.98</v>
      </c>
      <c r="V18" s="42">
        <f t="shared" si="0"/>
        <v>14.292349726775956</v>
      </c>
      <c r="W18" s="61" t="s">
        <v>25</v>
      </c>
      <c r="X18" s="57">
        <v>73</v>
      </c>
      <c r="Y18" s="57">
        <v>2721.22</v>
      </c>
      <c r="Z18" s="57">
        <v>98.65</v>
      </c>
      <c r="AA18" s="57">
        <v>686.11</v>
      </c>
      <c r="AB18" s="42">
        <f t="shared" si="1"/>
        <v>0.22872425704333124</v>
      </c>
    </row>
    <row r="19" spans="1:30" ht="15.75" customHeight="1">
      <c r="A19" s="85" t="s">
        <v>58</v>
      </c>
      <c r="C19" s="9">
        <v>185</v>
      </c>
      <c r="D19" t="s">
        <v>243</v>
      </c>
      <c r="E19" s="9">
        <v>14</v>
      </c>
      <c r="F19" s="9" t="s">
        <v>24</v>
      </c>
      <c r="G19" s="17" t="str">
        <f>IF(E19&lt;10,"DP6",IF(E19&lt;=30,"TP2DP2","TP4"))</f>
        <v>TP2DP2</v>
      </c>
      <c r="H19" s="17">
        <v>15</v>
      </c>
      <c r="I19" s="17">
        <v>4.4320000000000004</v>
      </c>
      <c r="J19" s="17">
        <v>75.989999999999995</v>
      </c>
      <c r="K19" s="17">
        <v>183.97</v>
      </c>
      <c r="L19" s="98" t="s">
        <v>44</v>
      </c>
      <c r="M19" s="15">
        <v>16</v>
      </c>
      <c r="N19" s="15">
        <v>4.7889999999999997</v>
      </c>
      <c r="O19" s="15">
        <v>75.180000000000007</v>
      </c>
      <c r="P19" s="15">
        <v>200.5</v>
      </c>
      <c r="Q19" s="15" t="s">
        <v>140</v>
      </c>
      <c r="R19" s="24">
        <v>1</v>
      </c>
      <c r="S19" s="24">
        <v>1.762</v>
      </c>
      <c r="T19" s="25">
        <v>207.64</v>
      </c>
      <c r="U19" s="25">
        <v>11.92</v>
      </c>
      <c r="V19" s="47">
        <f t="shared" si="0"/>
        <v>15.433724832214764</v>
      </c>
      <c r="W19" s="61" t="s">
        <v>44</v>
      </c>
      <c r="X19" s="57">
        <v>15</v>
      </c>
      <c r="Y19" s="57">
        <v>4890.55</v>
      </c>
      <c r="Z19" s="57">
        <v>71.680000000000007</v>
      </c>
      <c r="AA19" s="57">
        <v>196.35</v>
      </c>
      <c r="AB19" s="42">
        <f t="shared" si="1"/>
        <v>0.93694932518461937</v>
      </c>
      <c r="AC19" s="27" t="s">
        <v>251</v>
      </c>
    </row>
    <row r="20" spans="1:30" ht="15.75" customHeight="1">
      <c r="A20" s="85" t="s">
        <v>59</v>
      </c>
      <c r="B20" s="9">
        <v>1</v>
      </c>
      <c r="C20" s="86">
        <v>185</v>
      </c>
      <c r="D20" t="s">
        <v>141</v>
      </c>
      <c r="E20" s="9">
        <v>5</v>
      </c>
      <c r="F20" s="86" t="s">
        <v>24</v>
      </c>
      <c r="G20" s="117" t="s">
        <v>25</v>
      </c>
      <c r="H20" s="117">
        <v>11</v>
      </c>
      <c r="I20" s="117">
        <v>2.9359999999999999</v>
      </c>
      <c r="J20" s="118">
        <v>96.19</v>
      </c>
      <c r="K20" s="118">
        <v>111.13</v>
      </c>
      <c r="M20" s="15">
        <v>89</v>
      </c>
      <c r="N20" s="15">
        <v>4.9489999999999998</v>
      </c>
      <c r="O20" s="15">
        <v>85.14</v>
      </c>
      <c r="P20" s="15">
        <v>546.47</v>
      </c>
      <c r="Q20" s="15"/>
      <c r="R20" s="17">
        <v>11</v>
      </c>
      <c r="S20" s="17">
        <v>2.399</v>
      </c>
      <c r="T20" s="28">
        <v>96.16</v>
      </c>
      <c r="U20" s="28">
        <v>111.54</v>
      </c>
      <c r="V20" s="42">
        <f>J20/U20</f>
        <v>0.86238120853505462</v>
      </c>
      <c r="W20" s="62" t="s">
        <v>25</v>
      </c>
      <c r="X20" s="62">
        <v>89</v>
      </c>
      <c r="Y20" s="62">
        <v>4.9489999999999998</v>
      </c>
      <c r="Z20" s="62">
        <v>85.14</v>
      </c>
      <c r="AA20" s="62">
        <v>546.47</v>
      </c>
      <c r="AB20" s="42">
        <f>J20/AA20</f>
        <v>0.17602064157227293</v>
      </c>
    </row>
    <row r="21" spans="1:30" ht="15.75" customHeight="1">
      <c r="A21" s="85" t="s">
        <v>60</v>
      </c>
      <c r="C21" s="9">
        <v>185</v>
      </c>
      <c r="D21" t="s">
        <v>243</v>
      </c>
      <c r="E21" s="9" cm="1">
        <f t="array" ref="E21">_xlfn.LET(
_xlpm.x,LOWER(A21),
_xlpm.parts,_xlfn.TEXTSPLIT(_xlpm.x,"-"),
VALUE(_xlfn.TEXTBEFORE(INDEX(_xlfn._xlws.FILTER(_xlpm.parts,ISNUMBER(SEARCH("b",_xlpm.parts))),1),"b"))
)</f>
        <v>14</v>
      </c>
      <c r="F21" s="9" t="s">
        <v>24</v>
      </c>
      <c r="G21" s="17" t="str">
        <f>IF(E21&lt;10,"DP6",IF(E21&lt;=30,"TP2DP2","TP4"))</f>
        <v>TP2DP2</v>
      </c>
      <c r="H21" s="17">
        <v>12</v>
      </c>
      <c r="I21" s="17">
        <v>3.2989999999999999</v>
      </c>
      <c r="J21" s="17">
        <v>97.54</v>
      </c>
      <c r="K21" s="17">
        <v>118.82</v>
      </c>
      <c r="L21" s="98" t="s">
        <v>44</v>
      </c>
      <c r="M21" s="15">
        <v>16</v>
      </c>
      <c r="N21" s="15">
        <v>0.96799999999999997</v>
      </c>
      <c r="O21" s="15">
        <v>67.900000000000006</v>
      </c>
      <c r="P21" s="15">
        <v>220.11</v>
      </c>
      <c r="Q21" s="15"/>
      <c r="R21" s="24">
        <v>1</v>
      </c>
      <c r="S21" s="24">
        <v>1.7370000000000001</v>
      </c>
      <c r="T21" s="25">
        <v>141</v>
      </c>
      <c r="U21" s="25">
        <v>14.03</v>
      </c>
      <c r="V21" s="42">
        <f t="shared" ref="V21:V30" si="2">K21/U21</f>
        <v>8.4689950106913763</v>
      </c>
      <c r="W21" s="61" t="s">
        <v>44</v>
      </c>
      <c r="X21" s="57">
        <v>15</v>
      </c>
      <c r="Y21" s="57">
        <v>4775.6099999999997</v>
      </c>
      <c r="Z21" s="57">
        <v>67.349999999999994</v>
      </c>
      <c r="AA21" s="57">
        <v>208.42</v>
      </c>
      <c r="AB21" s="42">
        <f t="shared" ref="AB21:AB30" si="3">K21/AA21</f>
        <v>0.57009883888302471</v>
      </c>
      <c r="AC21" s="27" t="s">
        <v>251</v>
      </c>
    </row>
    <row r="22" spans="1:30" ht="15.75" customHeight="1">
      <c r="A22" s="85" t="s">
        <v>61</v>
      </c>
      <c r="C22" s="9">
        <v>185</v>
      </c>
      <c r="D22" t="s">
        <v>243</v>
      </c>
      <c r="E22" s="9" cm="1">
        <f t="array" ref="E22">_xlfn.LET(
_xlpm.x,LOWER(A22),
_xlpm.parts,_xlfn.TEXTSPLIT(_xlpm.x,"-"),
VALUE(_xlfn.TEXTBEFORE(INDEX(_xlfn._xlws.FILTER(_xlpm.parts,ISNUMBER(SEARCH("b",_xlpm.parts))),1),"b"))
)</f>
        <v>30</v>
      </c>
      <c r="F22" s="9" t="s">
        <v>24</v>
      </c>
      <c r="G22" s="17" t="str">
        <f>IF(E22&lt;10,"DP6",IF(E22&lt;=30,"TP2DP2","TP4"))</f>
        <v>TP2DP2</v>
      </c>
      <c r="H22" s="109">
        <v>66</v>
      </c>
      <c r="I22" s="109">
        <v>4.99</v>
      </c>
      <c r="J22" s="109">
        <v>99.87</v>
      </c>
      <c r="K22" s="109">
        <v>606.87</v>
      </c>
      <c r="L22" s="98" t="s">
        <v>44</v>
      </c>
      <c r="M22" s="15">
        <v>21</v>
      </c>
      <c r="N22" s="15">
        <v>0.89400000000000002</v>
      </c>
      <c r="O22" s="15">
        <v>100.48</v>
      </c>
      <c r="P22" s="15">
        <v>203.45</v>
      </c>
      <c r="Q22" s="15"/>
      <c r="R22" s="30">
        <v>11</v>
      </c>
      <c r="S22" s="30">
        <v>2.6930000000000001</v>
      </c>
      <c r="T22" s="30">
        <v>90.66</v>
      </c>
      <c r="U22" s="19">
        <v>112.89</v>
      </c>
      <c r="V22" s="42">
        <f t="shared" si="2"/>
        <v>5.3757640180706883</v>
      </c>
      <c r="W22" s="61" t="s">
        <v>44</v>
      </c>
      <c r="X22" s="57">
        <v>19</v>
      </c>
      <c r="Y22" s="57">
        <v>2898.24</v>
      </c>
      <c r="Z22" s="57">
        <v>99.37</v>
      </c>
      <c r="AA22" s="57">
        <v>186.06</v>
      </c>
      <c r="AB22" s="42">
        <f t="shared" si="3"/>
        <v>3.261689777491132</v>
      </c>
      <c r="AC22" s="27" t="s">
        <v>252</v>
      </c>
    </row>
    <row r="23" spans="1:30" ht="15.75" customHeight="1">
      <c r="A23" s="85" t="s">
        <v>63</v>
      </c>
      <c r="C23" s="9">
        <v>185</v>
      </c>
      <c r="D23" t="s">
        <v>243</v>
      </c>
      <c r="E23" s="9" cm="1">
        <f t="array" ref="E23">_xlfn.LET(
_xlpm.x,LOWER(A23),
_xlpm.parts,_xlfn.TEXTSPLIT(_xlpm.x,"-"),
VALUE(_xlfn.TEXTBEFORE(INDEX(_xlfn._xlws.FILTER(_xlpm.parts,ISNUMBER(SEARCH("b",_xlpm.parts))),1),"b"))
)</f>
        <v>30</v>
      </c>
      <c r="F23" s="9" t="s">
        <v>24</v>
      </c>
      <c r="G23" s="17" t="str">
        <f>IF(E23&lt;10,"DP6",IF(E23&lt;=30,"TP2DP2","TP4"))</f>
        <v>TP2DP2</v>
      </c>
      <c r="H23" s="17">
        <v>30</v>
      </c>
      <c r="I23" s="17">
        <v>3.323</v>
      </c>
      <c r="J23" s="17">
        <v>96.83</v>
      </c>
      <c r="K23" s="17">
        <v>299.04000000000002</v>
      </c>
      <c r="L23" s="98" t="s">
        <v>44</v>
      </c>
      <c r="M23" s="15">
        <v>23</v>
      </c>
      <c r="N23" s="15">
        <v>1.899</v>
      </c>
      <c r="O23" s="15">
        <v>98.89</v>
      </c>
      <c r="P23" s="15">
        <v>228.5</v>
      </c>
      <c r="Q23" s="15" t="s">
        <v>140</v>
      </c>
      <c r="R23" s="24">
        <v>1</v>
      </c>
      <c r="S23" s="24">
        <v>0.64700000000000002</v>
      </c>
      <c r="T23" s="25">
        <v>4129</v>
      </c>
      <c r="U23" s="25">
        <v>16.62</v>
      </c>
      <c r="V23" s="42">
        <f t="shared" si="2"/>
        <v>17.992779783393502</v>
      </c>
      <c r="W23" s="62" t="s">
        <v>44</v>
      </c>
      <c r="X23" s="62">
        <v>23</v>
      </c>
      <c r="Y23" s="62">
        <v>1.899</v>
      </c>
      <c r="Z23" s="62">
        <v>98.89</v>
      </c>
      <c r="AA23" s="62">
        <v>228.5</v>
      </c>
      <c r="AB23" s="42">
        <f t="shared" si="3"/>
        <v>1.3087089715536107</v>
      </c>
      <c r="AC23" s="27" t="s">
        <v>253</v>
      </c>
    </row>
    <row r="24" spans="1:30" ht="15.75" customHeight="1">
      <c r="A24" s="85" t="s">
        <v>67</v>
      </c>
      <c r="B24"/>
      <c r="C24" s="85" t="s">
        <v>125</v>
      </c>
      <c r="D24" t="s">
        <v>151</v>
      </c>
      <c r="E24" t="s">
        <v>24</v>
      </c>
      <c r="F24" s="85" t="s">
        <v>24</v>
      </c>
      <c r="G24" s="87" t="s">
        <v>25</v>
      </c>
      <c r="H24" s="17">
        <v>336</v>
      </c>
      <c r="I24" s="17">
        <v>4.9219999999999997</v>
      </c>
      <c r="J24" s="28">
        <v>84.76</v>
      </c>
      <c r="K24" s="28">
        <v>3714.85</v>
      </c>
      <c r="L24" s="26" t="s">
        <v>25</v>
      </c>
      <c r="M24" s="15">
        <v>312</v>
      </c>
      <c r="N24" s="15">
        <v>4.2709999999999999</v>
      </c>
      <c r="O24" s="15">
        <v>99.56</v>
      </c>
      <c r="P24" s="15">
        <v>2775.37</v>
      </c>
      <c r="Q24" s="15"/>
      <c r="R24" s="17">
        <v>16</v>
      </c>
      <c r="S24" s="17">
        <v>1.397</v>
      </c>
      <c r="T24" s="28">
        <v>32.700000000000003</v>
      </c>
      <c r="U24" s="28">
        <v>398.1</v>
      </c>
      <c r="V24" s="42">
        <f t="shared" si="2"/>
        <v>9.3314493845767394</v>
      </c>
      <c r="W24" s="61" t="s">
        <v>25</v>
      </c>
      <c r="X24" s="57">
        <v>337</v>
      </c>
      <c r="Y24" s="57">
        <v>2742.64</v>
      </c>
      <c r="Z24" s="57">
        <v>96.42</v>
      </c>
      <c r="AA24" s="57">
        <v>3176.94</v>
      </c>
      <c r="AB24" s="42">
        <f t="shared" si="3"/>
        <v>1.1693170157447104</v>
      </c>
    </row>
    <row r="25" spans="1:30" ht="15.75" customHeight="1">
      <c r="A25" s="85" t="s">
        <v>68</v>
      </c>
      <c r="B25"/>
      <c r="C25" s="85" t="s">
        <v>125</v>
      </c>
      <c r="D25" t="s">
        <v>152</v>
      </c>
      <c r="E25" t="s">
        <v>24</v>
      </c>
      <c r="F25" s="85" t="s">
        <v>24</v>
      </c>
      <c r="G25" s="87" t="s">
        <v>25</v>
      </c>
      <c r="H25" s="17">
        <v>86</v>
      </c>
      <c r="I25" s="17">
        <v>4.9210000000000003</v>
      </c>
      <c r="J25" s="28">
        <v>58.66</v>
      </c>
      <c r="K25" s="28">
        <v>1337.94</v>
      </c>
      <c r="L25" s="26" t="s">
        <v>25</v>
      </c>
      <c r="M25" s="15">
        <v>134</v>
      </c>
      <c r="N25" s="15">
        <v>4.8959999999999999</v>
      </c>
      <c r="O25" s="15">
        <v>90.71</v>
      </c>
      <c r="P25" s="15">
        <v>1307.1300000000001</v>
      </c>
      <c r="Q25" s="15"/>
      <c r="R25" s="17">
        <v>16</v>
      </c>
      <c r="S25" s="17">
        <v>3.7509999999999999</v>
      </c>
      <c r="T25" s="28">
        <v>61.5</v>
      </c>
      <c r="U25" s="28">
        <v>245.11</v>
      </c>
      <c r="V25" s="42">
        <f t="shared" si="2"/>
        <v>5.4585288237933991</v>
      </c>
      <c r="W25" s="61" t="s">
        <v>25</v>
      </c>
      <c r="X25" s="57">
        <v>177</v>
      </c>
      <c r="Y25" s="57">
        <v>3444.43</v>
      </c>
      <c r="Z25" s="57">
        <v>95.42</v>
      </c>
      <c r="AA25" s="57">
        <v>1690.97</v>
      </c>
      <c r="AB25" s="42">
        <f t="shared" si="3"/>
        <v>0.79122633754590566</v>
      </c>
    </row>
    <row r="26" spans="1:30" ht="15.75" customHeight="1">
      <c r="A26" s="85" t="s">
        <v>69</v>
      </c>
      <c r="B26"/>
      <c r="C26" s="85" t="s">
        <v>125</v>
      </c>
      <c r="D26" t="s">
        <v>153</v>
      </c>
      <c r="E26" t="s">
        <v>24</v>
      </c>
      <c r="F26" s="85" t="s">
        <v>24</v>
      </c>
      <c r="G26" s="87" t="s">
        <v>25</v>
      </c>
      <c r="H26" s="34">
        <v>46</v>
      </c>
      <c r="I26" s="34">
        <v>4.8659999999999997</v>
      </c>
      <c r="J26" s="35">
        <v>87.75</v>
      </c>
      <c r="K26" s="28">
        <v>493.07</v>
      </c>
      <c r="L26" s="26" t="s">
        <v>25</v>
      </c>
      <c r="M26" s="15">
        <v>67</v>
      </c>
      <c r="N26" s="15">
        <v>4.9930000000000003</v>
      </c>
      <c r="O26" s="15">
        <v>99.9</v>
      </c>
      <c r="P26" s="15">
        <v>609.70000000000005</v>
      </c>
      <c r="Q26" s="15"/>
      <c r="R26" s="34">
        <v>11</v>
      </c>
      <c r="S26" s="34">
        <v>4.4720000000000004</v>
      </c>
      <c r="T26" s="35">
        <v>90.48</v>
      </c>
      <c r="U26" s="28">
        <v>113.94</v>
      </c>
      <c r="V26" s="42">
        <f t="shared" si="2"/>
        <v>4.3274530454625237</v>
      </c>
      <c r="W26" s="61" t="s">
        <v>25</v>
      </c>
      <c r="X26" s="57">
        <v>138</v>
      </c>
      <c r="Y26" s="57">
        <v>4278.04</v>
      </c>
      <c r="Z26" s="57">
        <v>98.52</v>
      </c>
      <c r="AA26" s="57">
        <v>1278.75</v>
      </c>
      <c r="AB26" s="42">
        <f t="shared" si="3"/>
        <v>0.38558748778103619</v>
      </c>
    </row>
    <row r="27" spans="1:30" ht="15.75" customHeight="1">
      <c r="A27" s="85" t="s">
        <v>71</v>
      </c>
      <c r="B27"/>
      <c r="C27" s="85" t="s">
        <v>125</v>
      </c>
      <c r="D27" t="s">
        <v>154</v>
      </c>
      <c r="E27" t="s">
        <v>24</v>
      </c>
      <c r="F27" s="85" t="s">
        <v>24</v>
      </c>
      <c r="G27" s="87" t="s">
        <v>25</v>
      </c>
      <c r="H27" s="17">
        <v>51</v>
      </c>
      <c r="I27" s="17">
        <v>4.9889999999999999</v>
      </c>
      <c r="J27" s="28">
        <v>97.31</v>
      </c>
      <c r="K27" s="114">
        <v>472.58</v>
      </c>
      <c r="L27" s="26" t="s">
        <v>25</v>
      </c>
      <c r="M27" s="15">
        <v>56</v>
      </c>
      <c r="N27" s="15">
        <v>4.7450000000000001</v>
      </c>
      <c r="O27" s="15">
        <v>81.36</v>
      </c>
      <c r="P27" s="15">
        <v>476.17</v>
      </c>
      <c r="Q27" s="15"/>
      <c r="R27" s="17">
        <v>1</v>
      </c>
      <c r="S27" s="17">
        <v>0.76</v>
      </c>
      <c r="T27" s="28">
        <v>74.55</v>
      </c>
      <c r="U27" s="19">
        <v>13.29</v>
      </c>
      <c r="V27" s="42">
        <f t="shared" si="2"/>
        <v>35.559066967644846</v>
      </c>
      <c r="W27" s="62" t="s">
        <v>25</v>
      </c>
      <c r="X27" s="62">
        <v>56</v>
      </c>
      <c r="Y27" s="62">
        <v>4.7450000000000001</v>
      </c>
      <c r="Z27" s="62">
        <v>81.36</v>
      </c>
      <c r="AA27" s="62">
        <v>476.17</v>
      </c>
      <c r="AB27" s="42">
        <f t="shared" si="3"/>
        <v>0.99246067580905972</v>
      </c>
    </row>
    <row r="28" spans="1:30" ht="15.75" customHeight="1">
      <c r="A28" s="85" t="s">
        <v>72</v>
      </c>
      <c r="C28" s="86">
        <v>185</v>
      </c>
      <c r="D28" t="s">
        <v>155</v>
      </c>
      <c r="E28" s="9" cm="1">
        <f t="array" ref="E28">_xlfn.LET(
_xlpm.x,LOWER(A28),
_xlpm.parts,_xlfn.TEXTSPLIT(_xlpm.x,"-"),
VALUE(_xlfn.TEXTBEFORE(INDEX(_xlfn._xlws.FILTER(_xlpm.parts,ISNUMBER(SEARCH("b",_xlpm.parts))),1),"b"))
)</f>
        <v>7</v>
      </c>
      <c r="F28" s="86" t="s">
        <v>24</v>
      </c>
      <c r="G28" s="17" t="str">
        <f>IF(E28&lt;10,"DP6",IF(E28&lt;=30,"TP2DP2","TP4"))</f>
        <v>DP6</v>
      </c>
      <c r="H28" s="119">
        <v>46</v>
      </c>
      <c r="I28" s="119">
        <v>4.7750000000000004</v>
      </c>
      <c r="J28" s="120">
        <v>82.31</v>
      </c>
      <c r="K28" s="114">
        <v>517.71</v>
      </c>
      <c r="L28" s="15" t="s">
        <v>25</v>
      </c>
      <c r="M28" s="15">
        <v>61</v>
      </c>
      <c r="N28" s="15">
        <v>4.8869999999999996</v>
      </c>
      <c r="O28" s="15">
        <v>89.39</v>
      </c>
      <c r="P28" s="15">
        <v>624.17999999999995</v>
      </c>
      <c r="Q28" s="15"/>
      <c r="R28" s="36">
        <v>11</v>
      </c>
      <c r="S28" s="36">
        <v>4.6369999999999996</v>
      </c>
      <c r="T28" s="37">
        <v>92.92</v>
      </c>
      <c r="U28" s="19">
        <v>109.98</v>
      </c>
      <c r="V28" s="42">
        <f t="shared" si="2"/>
        <v>4.7073104200763778</v>
      </c>
      <c r="W28" s="61" t="s">
        <v>25</v>
      </c>
      <c r="X28" s="57">
        <v>67</v>
      </c>
      <c r="Y28" s="57">
        <v>4817.9399999999996</v>
      </c>
      <c r="Z28" s="57">
        <v>92.04</v>
      </c>
      <c r="AA28" s="57">
        <v>669.91</v>
      </c>
      <c r="AB28" s="42">
        <f t="shared" si="3"/>
        <v>0.77280530220477384</v>
      </c>
    </row>
    <row r="29" spans="1:30" ht="15.75" customHeight="1">
      <c r="A29" s="85" t="s">
        <v>74</v>
      </c>
      <c r="B29" t="s">
        <v>156</v>
      </c>
      <c r="C29" s="85" t="s">
        <v>125</v>
      </c>
      <c r="D29" t="s">
        <v>157</v>
      </c>
      <c r="E29" t="s">
        <v>24</v>
      </c>
      <c r="F29" s="85" t="s">
        <v>24</v>
      </c>
      <c r="G29" s="87" t="s">
        <v>25</v>
      </c>
      <c r="H29" s="17">
        <v>171</v>
      </c>
      <c r="I29" s="17">
        <v>4.9130000000000003</v>
      </c>
      <c r="J29" s="28">
        <v>62.22</v>
      </c>
      <c r="K29" s="28">
        <v>2481.9699999999998</v>
      </c>
      <c r="L29" s="26" t="s">
        <v>25</v>
      </c>
      <c r="M29" s="15">
        <v>210</v>
      </c>
      <c r="N29" s="15">
        <v>4.9740000000000002</v>
      </c>
      <c r="O29" s="15">
        <v>89.5</v>
      </c>
      <c r="P29" s="15">
        <v>1842.45</v>
      </c>
      <c r="Q29" s="15"/>
      <c r="R29" s="17">
        <v>26</v>
      </c>
      <c r="S29" s="17">
        <v>4.282</v>
      </c>
      <c r="T29" s="28">
        <v>60.52</v>
      </c>
      <c r="U29" s="28">
        <v>392.85</v>
      </c>
      <c r="V29" s="42">
        <f t="shared" si="2"/>
        <v>6.3178566883034231</v>
      </c>
      <c r="W29" s="62" t="s">
        <v>25</v>
      </c>
      <c r="X29" s="62">
        <v>210</v>
      </c>
      <c r="Y29" s="62">
        <v>4.9740000000000002</v>
      </c>
      <c r="Z29" s="62">
        <v>89.5</v>
      </c>
      <c r="AA29" s="62">
        <v>1842.45</v>
      </c>
      <c r="AB29" s="42">
        <f t="shared" si="3"/>
        <v>1.3471030421449699</v>
      </c>
    </row>
    <row r="30" spans="1:30" ht="15.75" customHeight="1">
      <c r="A30" s="85" t="s">
        <v>75</v>
      </c>
      <c r="B30" t="s">
        <v>156</v>
      </c>
      <c r="C30" s="85" t="s">
        <v>125</v>
      </c>
      <c r="D30" t="s">
        <v>158</v>
      </c>
      <c r="E30" t="s">
        <v>24</v>
      </c>
      <c r="F30" s="85" t="s">
        <v>24</v>
      </c>
      <c r="G30" s="87" t="s">
        <v>25</v>
      </c>
      <c r="H30" s="17">
        <v>41</v>
      </c>
      <c r="I30" s="17">
        <v>4.9740000000000002</v>
      </c>
      <c r="J30" s="28">
        <v>89.6</v>
      </c>
      <c r="K30" s="28">
        <v>429.45</v>
      </c>
      <c r="L30" s="26" t="s">
        <v>25</v>
      </c>
      <c r="M30" s="15">
        <v>16</v>
      </c>
      <c r="N30" s="15">
        <v>2.004</v>
      </c>
      <c r="O30" s="15">
        <v>99.53</v>
      </c>
      <c r="P30" s="15">
        <v>147.38999999999999</v>
      </c>
      <c r="Q30" s="15"/>
      <c r="R30" s="20">
        <v>1</v>
      </c>
      <c r="S30" s="20">
        <v>1.083</v>
      </c>
      <c r="T30" s="38">
        <v>164.82</v>
      </c>
      <c r="U30" s="25">
        <v>17.98</v>
      </c>
      <c r="V30" s="42">
        <f t="shared" si="2"/>
        <v>23.884872080088986</v>
      </c>
      <c r="W30" s="62" t="s">
        <v>25</v>
      </c>
      <c r="X30" s="62">
        <v>16</v>
      </c>
      <c r="Y30" s="62">
        <v>2.004</v>
      </c>
      <c r="Z30" s="62">
        <v>99.53</v>
      </c>
      <c r="AA30" s="62">
        <v>147.38999999999999</v>
      </c>
      <c r="AB30" s="42">
        <f t="shared" si="3"/>
        <v>2.9136983513128438</v>
      </c>
    </row>
    <row r="31" spans="1:30" ht="15.75" customHeight="1">
      <c r="A31" s="85" t="s">
        <v>77</v>
      </c>
      <c r="B31" s="54"/>
      <c r="C31" s="54" t="s">
        <v>125</v>
      </c>
      <c r="D31" t="s">
        <v>243</v>
      </c>
      <c r="E31" s="54" t="s">
        <v>24</v>
      </c>
      <c r="F31" s="54" t="s">
        <v>24</v>
      </c>
      <c r="G31" s="87" t="s">
        <v>43</v>
      </c>
      <c r="H31" s="87">
        <v>90</v>
      </c>
      <c r="I31" s="87">
        <v>4.9779999999999998</v>
      </c>
      <c r="J31" s="87">
        <v>98.2</v>
      </c>
      <c r="K31" s="87">
        <v>870.93</v>
      </c>
      <c r="AC31" s="27" t="s">
        <v>254</v>
      </c>
      <c r="AD31" s="9" t="s">
        <v>79</v>
      </c>
    </row>
    <row r="32" spans="1:30" ht="15.75" customHeight="1">
      <c r="A32" s="85" t="s">
        <v>80</v>
      </c>
      <c r="B32" s="9" t="s">
        <v>159</v>
      </c>
      <c r="C32" s="86">
        <v>185</v>
      </c>
      <c r="D32" t="s">
        <v>160</v>
      </c>
      <c r="E32" s="9">
        <v>1</v>
      </c>
      <c r="F32" s="86" t="s">
        <v>24</v>
      </c>
      <c r="G32" s="17" t="s">
        <v>25</v>
      </c>
      <c r="H32" s="17">
        <v>11</v>
      </c>
      <c r="I32" s="17">
        <v>2.032</v>
      </c>
      <c r="J32" s="28">
        <v>80.44</v>
      </c>
      <c r="K32" s="28">
        <v>32.03</v>
      </c>
      <c r="L32" s="15" t="s">
        <v>25</v>
      </c>
      <c r="M32" s="15"/>
      <c r="N32" s="15"/>
      <c r="O32" s="15"/>
      <c r="P32" s="15"/>
      <c r="Q32" s="15" t="s">
        <v>161</v>
      </c>
      <c r="R32" s="24">
        <v>1</v>
      </c>
      <c r="S32" s="24">
        <v>1.3149999999999999</v>
      </c>
      <c r="T32" s="25">
        <v>114.94</v>
      </c>
      <c r="U32" s="25">
        <v>41.51</v>
      </c>
      <c r="V32" s="47">
        <f t="shared" ref="V32:V37" si="4">K32/U32</f>
        <v>0.77162129607323537</v>
      </c>
      <c r="W32" s="61" t="s">
        <v>25</v>
      </c>
      <c r="X32" s="57" t="s">
        <v>23</v>
      </c>
      <c r="Y32" s="57"/>
      <c r="Z32" s="57"/>
      <c r="AA32" s="57"/>
      <c r="AB32" s="42"/>
    </row>
    <row r="33" spans="1:30" ht="15.95">
      <c r="A33" s="85" t="s">
        <v>84</v>
      </c>
      <c r="C33" s="86">
        <v>185</v>
      </c>
      <c r="D33" t="s">
        <v>179</v>
      </c>
      <c r="E33" s="9" cm="1">
        <f t="array" ref="E33">_xlfn.LET(
_xlpm.x,LOWER(A33),
_xlpm.parts,_xlfn.TEXTSPLIT(_xlpm.x,"-"),
VALUE(_xlfn.TEXTBEFORE(INDEX(_xlfn._xlws.FILTER(_xlpm.parts,ISNUMBER(SEARCH("b",_xlpm.parts))),1),"b"))
)</f>
        <v>8</v>
      </c>
      <c r="F33" s="86" t="s">
        <v>24</v>
      </c>
      <c r="G33" s="17" t="str">
        <f>IF(E33&lt;10,"DP6",IF(E33&lt;=30,"TP2DP2","TP4"))</f>
        <v>DP6</v>
      </c>
      <c r="H33" s="17">
        <v>71</v>
      </c>
      <c r="I33" s="17">
        <v>4.6159999999999997</v>
      </c>
      <c r="J33" s="28">
        <v>57.03</v>
      </c>
      <c r="K33" s="28">
        <v>1127.95</v>
      </c>
      <c r="L33" s="15" t="s">
        <v>25</v>
      </c>
      <c r="M33" s="15">
        <v>150</v>
      </c>
      <c r="N33" s="15">
        <v>4.9550000000000001</v>
      </c>
      <c r="O33" s="15">
        <v>91.15</v>
      </c>
      <c r="P33" s="15">
        <v>1463.69</v>
      </c>
      <c r="Q33" s="15"/>
      <c r="R33" s="17">
        <v>11</v>
      </c>
      <c r="S33" s="17">
        <v>3.3740000000000001</v>
      </c>
      <c r="T33" s="28">
        <v>55.59</v>
      </c>
      <c r="U33" s="28">
        <v>186.54</v>
      </c>
      <c r="V33" s="50">
        <f t="shared" si="4"/>
        <v>6.0466923984132093</v>
      </c>
      <c r="W33" s="61" t="s">
        <v>25</v>
      </c>
      <c r="X33" s="57">
        <v>156</v>
      </c>
      <c r="Y33" s="57">
        <v>4939.28</v>
      </c>
      <c r="Z33" s="57">
        <v>96.11</v>
      </c>
      <c r="AA33" s="57">
        <v>1437.52</v>
      </c>
      <c r="AB33" s="42">
        <f>K33/AA33</f>
        <v>0.78464995269631033</v>
      </c>
    </row>
    <row r="34" spans="1:30" ht="15.95">
      <c r="A34" s="85" t="s">
        <v>86</v>
      </c>
      <c r="C34" s="86">
        <v>185</v>
      </c>
      <c r="D34" t="s">
        <v>181</v>
      </c>
      <c r="E34" s="9" cm="1">
        <f t="array" ref="E34">_xlfn.LET(
_xlpm.x,LOWER(A34),
_xlpm.parts,_xlfn.TEXTSPLIT(_xlpm.x,"-"),
VALUE(_xlfn.TEXTBEFORE(INDEX(_xlfn._xlws.FILTER(_xlpm.parts,ISNUMBER(SEARCH("b",_xlpm.parts))),1),"b"))
)</f>
        <v>1</v>
      </c>
      <c r="F34" s="86" t="s">
        <v>24</v>
      </c>
      <c r="G34" s="17" t="str">
        <f>IF(E34&lt;10,"DP6",IF(E34&lt;=30,"TP2DP2","TP4"))</f>
        <v>DP6</v>
      </c>
      <c r="H34" s="17">
        <v>546</v>
      </c>
      <c r="I34" s="17">
        <v>4.8760000000000003</v>
      </c>
      <c r="J34" s="28">
        <v>54.3</v>
      </c>
      <c r="K34" s="28">
        <v>9086.27</v>
      </c>
      <c r="L34" s="15" t="s">
        <v>25</v>
      </c>
      <c r="M34" s="15">
        <v>816</v>
      </c>
      <c r="N34" s="15">
        <v>4.6619999999999999</v>
      </c>
      <c r="O34" s="15">
        <v>98.94</v>
      </c>
      <c r="P34" s="15">
        <v>7352.74</v>
      </c>
      <c r="Q34" s="15"/>
      <c r="R34" s="17">
        <v>21</v>
      </c>
      <c r="S34" s="17">
        <v>0.876</v>
      </c>
      <c r="T34" s="28">
        <v>16.22</v>
      </c>
      <c r="U34" s="28">
        <v>1081.28</v>
      </c>
      <c r="V34" s="50">
        <f t="shared" si="4"/>
        <v>8.4032535513465536</v>
      </c>
      <c r="W34" s="61" t="s">
        <v>25</v>
      </c>
      <c r="X34" s="57">
        <v>816</v>
      </c>
      <c r="Y34" s="57">
        <v>4839.4799999999996</v>
      </c>
      <c r="Z34" s="57">
        <v>94.5</v>
      </c>
      <c r="AA34" s="57">
        <v>7613.21</v>
      </c>
      <c r="AB34" s="42">
        <f>K34/AA34</f>
        <v>1.1934873726062989</v>
      </c>
    </row>
    <row r="35" spans="1:30" ht="15.95">
      <c r="A35" s="85" t="s">
        <v>87</v>
      </c>
      <c r="C35" s="86">
        <v>185</v>
      </c>
      <c r="D35" t="s">
        <v>183</v>
      </c>
      <c r="E35" s="9" cm="1">
        <f t="array" ref="E35">_xlfn.LET(
_xlpm.x,LOWER(A35),
_xlpm.parts,_xlfn.TEXTSPLIT(_xlpm.x,"-"),
VALUE(_xlfn.TEXTBEFORE(INDEX(_xlfn._xlws.FILTER(_xlpm.parts,ISNUMBER(SEARCH("b",_xlpm.parts))),1),"b"))
)</f>
        <v>3</v>
      </c>
      <c r="F35" s="86" t="s">
        <v>24</v>
      </c>
      <c r="G35" s="17" t="str">
        <f>IF(E35&lt;10,"DP6",IF(E35&lt;=30,"TP2DP2","TP4"))</f>
        <v>DP6</v>
      </c>
      <c r="H35" s="17">
        <v>121</v>
      </c>
      <c r="I35" s="17">
        <v>3.6240000000000001</v>
      </c>
      <c r="J35" s="28">
        <v>98.63</v>
      </c>
      <c r="K35" s="28">
        <v>1159.21</v>
      </c>
      <c r="L35" s="15" t="s">
        <v>25</v>
      </c>
      <c r="M35" s="15">
        <v>280</v>
      </c>
      <c r="N35" s="15">
        <v>3.9860000000000002</v>
      </c>
      <c r="O35" s="15">
        <v>99.8</v>
      </c>
      <c r="P35" s="15">
        <v>2409.3000000000002</v>
      </c>
      <c r="Q35" s="15"/>
      <c r="R35" s="17">
        <v>16</v>
      </c>
      <c r="S35" s="17">
        <v>1.8320000000000001</v>
      </c>
      <c r="T35" s="28">
        <v>71.36</v>
      </c>
      <c r="U35" s="28">
        <v>201.6</v>
      </c>
      <c r="V35" s="50">
        <f t="shared" si="4"/>
        <v>5.7500496031746033</v>
      </c>
      <c r="W35" s="61" t="s">
        <v>25</v>
      </c>
      <c r="X35" s="57">
        <v>280</v>
      </c>
      <c r="Y35" s="57">
        <v>2541.41</v>
      </c>
      <c r="Z35" s="57">
        <v>3949.54</v>
      </c>
      <c r="AA35" s="57">
        <v>97.79</v>
      </c>
      <c r="AB35" s="42">
        <f>K35/AA35</f>
        <v>11.854075058799468</v>
      </c>
    </row>
    <row r="36" spans="1:30" ht="15.95">
      <c r="A36" s="85" t="s">
        <v>88</v>
      </c>
      <c r="B36" s="85"/>
      <c r="C36" s="85" t="s">
        <v>125</v>
      </c>
      <c r="D36" s="85" t="s">
        <v>243</v>
      </c>
      <c r="E36" s="54" cm="1">
        <f t="array" ref="E36">_xlfn.LET(
_xlpm.x,LOWER(A36),
_xlpm.parts,_xlfn.TEXTSPLIT(_xlpm.x,"-"),
VALUE(_xlfn.TEXTBEFORE(INDEX(_xlfn._xlws.FILTER(_xlpm.parts,ISNUMBER(SEARCH("b",_xlpm.parts))),1),"b"))
)</f>
        <v>70</v>
      </c>
      <c r="F36" s="54" t="s">
        <v>24</v>
      </c>
      <c r="G36" s="127" t="s">
        <v>43</v>
      </c>
      <c r="H36" s="121">
        <v>1</v>
      </c>
      <c r="I36" s="121">
        <v>0.46700000000000003</v>
      </c>
      <c r="J36" s="121">
        <v>175.63</v>
      </c>
      <c r="K36" s="121">
        <v>5.62</v>
      </c>
      <c r="L36" s="23" t="s">
        <v>44</v>
      </c>
      <c r="M36" s="23">
        <v>1</v>
      </c>
      <c r="N36" s="23">
        <v>1.4850000000000001</v>
      </c>
      <c r="O36" s="23">
        <v>117.76</v>
      </c>
      <c r="P36" s="39">
        <v>8.4</v>
      </c>
      <c r="Q36" s="15"/>
      <c r="R36" s="121">
        <v>1</v>
      </c>
      <c r="S36" s="121">
        <v>4.7729999999999997</v>
      </c>
      <c r="T36" s="122">
        <v>351.26</v>
      </c>
      <c r="U36" s="122">
        <v>5.64</v>
      </c>
      <c r="V36" s="47">
        <f t="shared" si="4"/>
        <v>0.99645390070921991</v>
      </c>
      <c r="W36" s="61" t="s">
        <v>44</v>
      </c>
      <c r="X36" s="57">
        <v>1</v>
      </c>
      <c r="Y36" s="57">
        <v>3457.87</v>
      </c>
      <c r="Z36" s="57">
        <v>3457.87</v>
      </c>
      <c r="AA36" s="57">
        <v>3457.87</v>
      </c>
      <c r="AB36" s="42">
        <f>K36/AA36</f>
        <v>1.6252779890510633E-3</v>
      </c>
      <c r="AC36" s="27" t="s">
        <v>261</v>
      </c>
    </row>
    <row r="37" spans="1:30" ht="15.95">
      <c r="A37" s="85" t="s">
        <v>89</v>
      </c>
      <c r="B37" s="85"/>
      <c r="C37" s="85" t="s">
        <v>125</v>
      </c>
      <c r="D37" s="85" t="s">
        <v>243</v>
      </c>
      <c r="E37" s="54" cm="1">
        <f t="array" ref="E37">_xlfn.LET(
_xlpm.x,LOWER(A37),
_xlpm.parts,_xlfn.TEXTSPLIT(_xlpm.x,"-"),
VALUE(_xlfn.TEXTBEFORE(INDEX(_xlfn._xlws.FILTER(_xlpm.parts,ISNUMBER(SEARCH("b",_xlpm.parts))),1),"b"))
)</f>
        <v>32</v>
      </c>
      <c r="F37" s="54" t="s">
        <v>24</v>
      </c>
      <c r="G37" s="127" t="s">
        <v>43</v>
      </c>
      <c r="H37" s="17">
        <v>20</v>
      </c>
      <c r="I37" s="17">
        <v>1.3280000000000001</v>
      </c>
      <c r="J37" s="17">
        <v>99.55</v>
      </c>
      <c r="K37" s="17">
        <v>182.12</v>
      </c>
      <c r="L37" s="15" t="s">
        <v>44</v>
      </c>
      <c r="M37" s="15">
        <v>13</v>
      </c>
      <c r="N37" s="15">
        <v>4.8600000000000003</v>
      </c>
      <c r="O37" s="15">
        <v>82.32</v>
      </c>
      <c r="P37" s="15">
        <v>149.44</v>
      </c>
      <c r="Q37" s="15"/>
      <c r="R37" s="24">
        <v>1</v>
      </c>
      <c r="S37" s="24">
        <v>2.4990000000000001</v>
      </c>
      <c r="T37" s="25">
        <v>182451.31</v>
      </c>
      <c r="U37" s="25">
        <v>5.55</v>
      </c>
      <c r="V37" s="47">
        <f t="shared" si="4"/>
        <v>32.814414414414415</v>
      </c>
      <c r="W37" s="61" t="s">
        <v>44</v>
      </c>
      <c r="X37" s="57">
        <v>12</v>
      </c>
      <c r="Y37" s="57">
        <v>4938.93</v>
      </c>
      <c r="Z37" s="57">
        <v>79.680000000000007</v>
      </c>
      <c r="AA37" s="57">
        <v>142.12</v>
      </c>
      <c r="AB37" s="42">
        <f>K37/AA37</f>
        <v>1.2814522938361947</v>
      </c>
      <c r="AC37" s="27" t="s">
        <v>255</v>
      </c>
    </row>
    <row r="38" spans="1:30" ht="15.75" customHeight="1">
      <c r="A38" s="85" t="s">
        <v>90</v>
      </c>
      <c r="B38"/>
      <c r="C38" s="85" t="s">
        <v>125</v>
      </c>
      <c r="D38" s="85" t="s">
        <v>243</v>
      </c>
      <c r="E38" t="s">
        <v>85</v>
      </c>
      <c r="F38" s="85" t="s">
        <v>24</v>
      </c>
      <c r="G38" s="87" t="s">
        <v>25</v>
      </c>
      <c r="H38" s="87">
        <v>65</v>
      </c>
      <c r="I38" s="87">
        <v>4.74</v>
      </c>
      <c r="J38" s="87">
        <v>69.63</v>
      </c>
      <c r="K38" s="87">
        <v>854.2</v>
      </c>
      <c r="AC38" s="27" t="s">
        <v>256</v>
      </c>
      <c r="AD38" s="9" t="s">
        <v>79</v>
      </c>
    </row>
    <row r="39" spans="1:30" ht="15.95">
      <c r="A39" s="85" t="s">
        <v>91</v>
      </c>
      <c r="C39" s="86">
        <v>185</v>
      </c>
      <c r="D39" t="s">
        <v>199</v>
      </c>
      <c r="E39" s="9" cm="1">
        <f t="array" ref="E39">_xlfn.LET(
_xlpm.x,LOWER(A39),
_xlpm.parts,_xlfn.TEXTSPLIT(_xlpm.x,"-"),
VALUE(_xlfn.TEXTBEFORE(INDEX(_xlfn._xlws.FILTER(_xlpm.parts,ISNUMBER(SEARCH("b",_xlpm.parts))),1),"b"))
)</f>
        <v>8</v>
      </c>
      <c r="F39" s="86" t="s">
        <v>24</v>
      </c>
      <c r="G39" s="17" t="str">
        <f>IF(E39&lt;10,"DP6",IF(E39&lt;=30,"TP2DP2","TP4"))</f>
        <v>DP6</v>
      </c>
      <c r="H39" s="113">
        <v>46</v>
      </c>
      <c r="I39" s="113">
        <v>4.5190000000000001</v>
      </c>
      <c r="J39" s="114">
        <v>89.89</v>
      </c>
      <c r="K39" s="114">
        <v>476.09</v>
      </c>
      <c r="L39" s="15" t="s">
        <v>25</v>
      </c>
      <c r="M39" s="15">
        <v>68</v>
      </c>
      <c r="N39" s="15">
        <v>4.9989999999999997</v>
      </c>
      <c r="O39" s="15">
        <v>62.52</v>
      </c>
      <c r="P39" s="15">
        <v>932.95</v>
      </c>
      <c r="Q39" s="15" t="s">
        <v>140</v>
      </c>
      <c r="R39" s="18">
        <v>6</v>
      </c>
      <c r="S39" s="18">
        <v>3.1</v>
      </c>
      <c r="T39" s="19">
        <v>87.26</v>
      </c>
      <c r="U39" s="19">
        <v>66.44</v>
      </c>
      <c r="V39" s="47">
        <f t="shared" ref="V39:V44" si="5">K39/U39</f>
        <v>7.1657134256472004</v>
      </c>
      <c r="W39" s="62" t="s">
        <v>25</v>
      </c>
      <c r="X39" s="62">
        <v>68</v>
      </c>
      <c r="Y39" s="62">
        <v>4.9989999999999997</v>
      </c>
      <c r="Z39" s="62">
        <v>62.52</v>
      </c>
      <c r="AA39" s="62">
        <v>932.95</v>
      </c>
      <c r="AB39" s="42">
        <f t="shared" ref="AB39:AB44" si="6">K39/AA39</f>
        <v>0.51030601854333024</v>
      </c>
    </row>
    <row r="40" spans="1:30" ht="15.95">
      <c r="A40" s="85" t="s">
        <v>93</v>
      </c>
      <c r="C40" s="86">
        <v>185</v>
      </c>
      <c r="D40" t="s">
        <v>200</v>
      </c>
      <c r="E40" s="9" cm="1">
        <f t="array" ref="E40">_xlfn.LET(
_xlpm.x,LOWER(A40),
_xlpm.parts,_xlfn.TEXTSPLIT(_xlpm.x,"-"),
VALUE(_xlfn.TEXTBEFORE(INDEX(_xlfn._xlws.FILTER(_xlpm.parts,ISNUMBER(SEARCH("b",_xlpm.parts))),1),"b"))
)</f>
        <v>1</v>
      </c>
      <c r="F40" s="86" t="s">
        <v>24</v>
      </c>
      <c r="G40" s="17" t="str">
        <f>IF(E40&lt;10,"DP6",IF(E40&lt;=30,"TP2DP2","TP4"))</f>
        <v>DP6</v>
      </c>
      <c r="H40" s="113">
        <v>336</v>
      </c>
      <c r="I40" s="17">
        <v>4.9729999999999999</v>
      </c>
      <c r="J40" s="114">
        <v>41.4</v>
      </c>
      <c r="K40" s="114">
        <v>7180.94</v>
      </c>
      <c r="L40" s="15" t="s">
        <v>25</v>
      </c>
      <c r="M40" s="15">
        <v>546</v>
      </c>
      <c r="N40" s="15">
        <v>4.9379999999999997</v>
      </c>
      <c r="O40" s="15">
        <v>72.599999999999994</v>
      </c>
      <c r="P40" s="15">
        <v>6233.22</v>
      </c>
      <c r="Q40" s="15" t="s">
        <v>140</v>
      </c>
      <c r="R40" s="18">
        <v>76</v>
      </c>
      <c r="S40" s="18">
        <v>1.331</v>
      </c>
      <c r="T40" s="19">
        <v>26.36</v>
      </c>
      <c r="U40" s="19">
        <v>2698.42</v>
      </c>
      <c r="V40" s="47">
        <f t="shared" si="5"/>
        <v>2.661164681554391</v>
      </c>
      <c r="W40" s="62" t="s">
        <v>25</v>
      </c>
      <c r="X40" s="62">
        <v>546</v>
      </c>
      <c r="Y40" s="62">
        <v>4.9379999999999997</v>
      </c>
      <c r="Z40" s="62">
        <v>72.599999999999994</v>
      </c>
      <c r="AA40" s="62">
        <v>6233.22</v>
      </c>
      <c r="AB40" s="42">
        <f t="shared" si="6"/>
        <v>1.1520434061367959</v>
      </c>
    </row>
    <row r="41" spans="1:30" ht="15.95">
      <c r="A41" s="85" t="s">
        <v>94</v>
      </c>
      <c r="C41" s="86">
        <v>185</v>
      </c>
      <c r="D41" t="s">
        <v>201</v>
      </c>
      <c r="E41" s="9" cm="1">
        <f t="array" ref="E41">_xlfn.LET(
_xlpm.x,LOWER(A41),
_xlpm.parts,_xlfn.TEXTSPLIT(_xlpm.x,"-"),
VALUE(_xlfn.TEXTBEFORE(INDEX(_xlfn._xlws.FILTER(_xlpm.parts,ISNUMBER(SEARCH("b",_xlpm.parts))),1),"b"))
)</f>
        <v>3</v>
      </c>
      <c r="F41" s="86" t="s">
        <v>24</v>
      </c>
      <c r="G41" s="17" t="str">
        <f>IF(E41&lt;10,"DP6",IF(E41&lt;=30,"TP2DP2","TP4"))</f>
        <v>DP6</v>
      </c>
      <c r="H41" s="17">
        <v>91</v>
      </c>
      <c r="I41" s="17">
        <v>4.7030000000000003</v>
      </c>
      <c r="J41" s="28">
        <v>99.7</v>
      </c>
      <c r="K41" s="28">
        <v>845.24</v>
      </c>
      <c r="L41" s="15" t="s">
        <v>25</v>
      </c>
      <c r="M41" s="15">
        <v>186</v>
      </c>
      <c r="N41" s="15">
        <v>4.93</v>
      </c>
      <c r="O41" s="15">
        <v>77.48</v>
      </c>
      <c r="P41" s="15">
        <v>2074.77</v>
      </c>
      <c r="Q41" s="15" t="s">
        <v>140</v>
      </c>
      <c r="R41" s="24">
        <v>1</v>
      </c>
      <c r="S41" s="24">
        <v>0.373</v>
      </c>
      <c r="T41" s="25">
        <v>121.37</v>
      </c>
      <c r="U41" s="25">
        <v>34.14</v>
      </c>
      <c r="V41" s="47">
        <f t="shared" si="5"/>
        <v>24.758055067369654</v>
      </c>
      <c r="W41" s="62" t="s">
        <v>25</v>
      </c>
      <c r="X41" s="62">
        <v>186</v>
      </c>
      <c r="Y41" s="62">
        <v>4.93</v>
      </c>
      <c r="Z41" s="62">
        <v>77.48</v>
      </c>
      <c r="AA41" s="62">
        <v>2074.77</v>
      </c>
      <c r="AB41" s="42">
        <f t="shared" si="6"/>
        <v>0.40738973476578128</v>
      </c>
    </row>
    <row r="42" spans="1:30" ht="15.95">
      <c r="A42" s="85" t="s">
        <v>95</v>
      </c>
      <c r="B42" s="85"/>
      <c r="C42" s="85" t="s">
        <v>125</v>
      </c>
      <c r="D42" s="85" t="s">
        <v>243</v>
      </c>
      <c r="E42" s="54" cm="1">
        <f t="array" ref="E42">_xlfn.LET(
_xlpm.x,LOWER(A42),
_xlpm.parts,_xlfn.TEXTSPLIT(_xlpm.x,"-"),
VALUE(_xlfn.TEXTBEFORE(INDEX(_xlfn._xlws.FILTER(_xlpm.parts,ISNUMBER(SEARCH("b",_xlpm.parts))),1),"b"))
)</f>
        <v>32</v>
      </c>
      <c r="F42" s="54" t="s">
        <v>24</v>
      </c>
      <c r="G42" s="127" t="s">
        <v>43</v>
      </c>
      <c r="H42" s="24">
        <v>1</v>
      </c>
      <c r="I42" s="24">
        <v>0.33</v>
      </c>
      <c r="J42" s="24">
        <v>134.02000000000001</v>
      </c>
      <c r="K42" s="24">
        <v>7.38</v>
      </c>
      <c r="L42" s="15" t="s">
        <v>44</v>
      </c>
      <c r="M42" s="15">
        <v>6</v>
      </c>
      <c r="N42" s="15">
        <v>4.8559999999999999</v>
      </c>
      <c r="O42" s="15">
        <v>66.569999999999993</v>
      </c>
      <c r="P42" s="15">
        <v>84.2</v>
      </c>
      <c r="Q42" s="15" t="s">
        <v>140</v>
      </c>
      <c r="R42" s="24"/>
      <c r="S42" s="24" t="s">
        <v>203</v>
      </c>
      <c r="T42" s="25"/>
      <c r="U42" s="25"/>
      <c r="V42" s="47" t="e">
        <f t="shared" si="5"/>
        <v>#DIV/0!</v>
      </c>
      <c r="W42" s="62" t="s">
        <v>44</v>
      </c>
      <c r="X42" s="62">
        <v>6</v>
      </c>
      <c r="Y42" s="62">
        <v>4.8559999999999999</v>
      </c>
      <c r="Z42" s="62">
        <v>66.569999999999993</v>
      </c>
      <c r="AA42" s="62">
        <v>84.2</v>
      </c>
      <c r="AB42" s="42">
        <f t="shared" si="6"/>
        <v>8.7648456057007121E-2</v>
      </c>
      <c r="AC42" s="27" t="s">
        <v>255</v>
      </c>
    </row>
    <row r="43" spans="1:30" ht="15.95">
      <c r="A43" s="85" t="s">
        <v>96</v>
      </c>
      <c r="C43" s="9">
        <v>185</v>
      </c>
      <c r="D43" t="s">
        <v>243</v>
      </c>
      <c r="E43" s="9" cm="1">
        <f t="array" ref="E43">_xlfn.LET(
_xlpm.x,LOWER(A43),
_xlpm.parts,_xlfn.TEXTSPLIT(_xlpm.x,"-"),
VALUE(_xlfn.TEXTBEFORE(INDEX(_xlfn._xlws.FILTER(_xlpm.parts,ISNUMBER(SEARCH("b",_xlpm.parts))),1),"b"))
)</f>
        <v>14</v>
      </c>
      <c r="F43" s="9" t="s">
        <v>24</v>
      </c>
      <c r="G43" s="130" t="s">
        <v>25</v>
      </c>
      <c r="H43" s="24">
        <v>1</v>
      </c>
      <c r="I43" s="24">
        <v>1.4410000000000001</v>
      </c>
      <c r="J43" s="25">
        <v>116.47</v>
      </c>
      <c r="K43" s="25">
        <v>8.49</v>
      </c>
      <c r="L43" s="15" t="s">
        <v>25</v>
      </c>
      <c r="M43" s="15">
        <v>32</v>
      </c>
      <c r="N43" s="15">
        <v>4.915</v>
      </c>
      <c r="O43" s="15">
        <v>77.760000000000005</v>
      </c>
      <c r="P43" s="15">
        <v>371.6</v>
      </c>
      <c r="Q43" s="15" t="s">
        <v>140</v>
      </c>
      <c r="R43" s="24">
        <v>1</v>
      </c>
      <c r="S43" s="24">
        <v>1.5269999999999999</v>
      </c>
      <c r="T43" s="25">
        <v>130.69</v>
      </c>
      <c r="U43" s="25">
        <v>15.15</v>
      </c>
      <c r="V43" s="47">
        <f t="shared" si="5"/>
        <v>0.56039603960396045</v>
      </c>
      <c r="W43" s="62" t="s">
        <v>25</v>
      </c>
      <c r="X43" s="62">
        <v>32</v>
      </c>
      <c r="Y43" s="62">
        <v>4.915</v>
      </c>
      <c r="Z43" s="62">
        <v>77.760000000000005</v>
      </c>
      <c r="AA43" s="62">
        <v>371.6</v>
      </c>
      <c r="AB43" s="42">
        <f t="shared" si="6"/>
        <v>2.2847147470398278E-2</v>
      </c>
      <c r="AC43" s="27" t="s">
        <v>257</v>
      </c>
    </row>
    <row r="44" spans="1:30" ht="15.95">
      <c r="A44" s="85" t="s">
        <v>97</v>
      </c>
      <c r="C44" s="86">
        <v>185</v>
      </c>
      <c r="D44" t="s">
        <v>209</v>
      </c>
      <c r="E44" s="9">
        <v>7</v>
      </c>
      <c r="F44" s="86" t="s">
        <v>24</v>
      </c>
      <c r="G44" s="17" t="str">
        <f>IF(E44&lt;10,"DP6",IF(E44&lt;=30,"TP2DP2","TP4"))</f>
        <v>DP6</v>
      </c>
      <c r="H44" s="113">
        <v>46</v>
      </c>
      <c r="I44" s="113">
        <v>4.5940000000000003</v>
      </c>
      <c r="J44" s="114">
        <v>86.26</v>
      </c>
      <c r="K44" s="114">
        <v>492.75</v>
      </c>
      <c r="L44" s="15" t="s">
        <v>25</v>
      </c>
      <c r="M44" s="15">
        <v>66</v>
      </c>
      <c r="N44" s="15">
        <v>4.9400000000000004</v>
      </c>
      <c r="O44" s="15">
        <v>58.03</v>
      </c>
      <c r="P44" s="15">
        <v>977.72</v>
      </c>
      <c r="Q44" s="15" t="s">
        <v>140</v>
      </c>
      <c r="R44" s="18">
        <v>11</v>
      </c>
      <c r="S44" s="18">
        <v>3.972</v>
      </c>
      <c r="T44" s="19">
        <v>91.27</v>
      </c>
      <c r="U44" s="19">
        <v>112.27</v>
      </c>
      <c r="V44" s="47">
        <f t="shared" si="5"/>
        <v>4.3889730114901582</v>
      </c>
      <c r="W44" s="62" t="s">
        <v>25</v>
      </c>
      <c r="X44" s="62">
        <v>66</v>
      </c>
      <c r="Y44" s="62">
        <v>4.9400000000000004</v>
      </c>
      <c r="Z44" s="62">
        <v>58.03</v>
      </c>
      <c r="AA44" s="62">
        <v>977.72</v>
      </c>
      <c r="AB44" s="42">
        <f t="shared" si="6"/>
        <v>0.5039786441926114</v>
      </c>
    </row>
    <row r="45" spans="1:30" ht="15.75" customHeight="1">
      <c r="A45" s="85" t="s">
        <v>98</v>
      </c>
      <c r="B45"/>
      <c r="C45" s="85" t="s">
        <v>125</v>
      </c>
      <c r="D45" s="85" t="s">
        <v>243</v>
      </c>
      <c r="E45" t="s">
        <v>92</v>
      </c>
      <c r="F45" s="85" t="s">
        <v>24</v>
      </c>
      <c r="G45" s="87" t="s">
        <v>25</v>
      </c>
      <c r="H45" s="87">
        <v>522</v>
      </c>
      <c r="I45" s="87">
        <v>4.0419999999999998</v>
      </c>
      <c r="J45" s="87">
        <v>98.72</v>
      </c>
      <c r="K45" s="87">
        <v>4989.0600000000004</v>
      </c>
      <c r="AC45" s="27" t="s">
        <v>256</v>
      </c>
      <c r="AD45" s="9" t="s">
        <v>79</v>
      </c>
    </row>
    <row r="46" spans="1:30" ht="15.75" customHeight="1">
      <c r="A46" s="85" t="s">
        <v>99</v>
      </c>
      <c r="B46"/>
      <c r="C46" s="85" t="s">
        <v>125</v>
      </c>
      <c r="D46" s="85" t="s">
        <v>243</v>
      </c>
      <c r="E46" t="s">
        <v>92</v>
      </c>
      <c r="F46" s="85" t="s">
        <v>24</v>
      </c>
      <c r="G46" s="87" t="s">
        <v>25</v>
      </c>
      <c r="H46" s="87">
        <v>244</v>
      </c>
      <c r="I46" s="87">
        <v>4.9569999999999999</v>
      </c>
      <c r="J46" s="87">
        <v>42.36</v>
      </c>
      <c r="K46" s="87">
        <v>5070.6400000000003</v>
      </c>
      <c r="AC46" s="27" t="s">
        <v>256</v>
      </c>
      <c r="AD46" s="9" t="s">
        <v>79</v>
      </c>
    </row>
    <row r="47" spans="1:30" ht="15.75" customHeight="1">
      <c r="A47" s="85" t="s">
        <v>100</v>
      </c>
      <c r="B47"/>
      <c r="C47" s="85" t="s">
        <v>125</v>
      </c>
      <c r="D47" s="85" t="s">
        <v>243</v>
      </c>
      <c r="E47" t="s">
        <v>92</v>
      </c>
      <c r="F47" s="85" t="s">
        <v>24</v>
      </c>
      <c r="G47" s="87" t="s">
        <v>25</v>
      </c>
      <c r="H47" s="87">
        <v>246</v>
      </c>
      <c r="I47" s="87">
        <v>4.83</v>
      </c>
      <c r="J47" s="87">
        <v>44.03</v>
      </c>
      <c r="K47" s="87">
        <v>4954.8999999999996</v>
      </c>
      <c r="AC47" s="27" t="s">
        <v>256</v>
      </c>
      <c r="AD47" s="9" t="s">
        <v>79</v>
      </c>
    </row>
    <row r="48" spans="1:30" ht="15.75" customHeight="1">
      <c r="A48" s="85"/>
      <c r="B48" s="85"/>
      <c r="C48" s="85"/>
      <c r="D48" s="85"/>
      <c r="E48" s="85"/>
      <c r="F48" s="85"/>
    </row>
    <row r="49" spans="1:28" ht="15.75" customHeight="1">
      <c r="D49"/>
      <c r="AB49" s="42" cm="1">
        <f t="array" ref="AB49">GEOMEAN(AB6:AB8,IF(AB13:AB32 &gt;0, AB13:AB32))</f>
        <v>0.47830966881619541</v>
      </c>
    </row>
    <row r="50" spans="1:28" ht="15.75" customHeight="1">
      <c r="D50"/>
      <c r="AB50" s="42" cm="1">
        <f t="array" ref="AB50">GEOMEAN(IF(AB33:AB38 &gt;0, AB33:AB38))</f>
        <v>0.47075865152263346</v>
      </c>
    </row>
    <row r="51" spans="1:28" ht="15.75" customHeight="1">
      <c r="D51"/>
      <c r="AB51" s="42" cm="1">
        <f t="array" ref="AB51">GEOMEAN(IF(AB39:AB41 &gt;0, AB39:AB41),AB44)</f>
        <v>0.58942755825797721</v>
      </c>
    </row>
    <row r="52" spans="1:28" ht="15.75" customHeight="1">
      <c r="D52"/>
    </row>
    <row r="55" spans="1:28" ht="15.75" customHeight="1">
      <c r="A55" s="123" t="s">
        <v>258</v>
      </c>
    </row>
  </sheetData>
  <mergeCells count="7">
    <mergeCell ref="W3:Z3"/>
    <mergeCell ref="H1:K2"/>
    <mergeCell ref="L1:Q2"/>
    <mergeCell ref="A3:A4"/>
    <mergeCell ref="G3:K3"/>
    <mergeCell ref="L3:O3"/>
    <mergeCell ref="R3:U3"/>
  </mergeCells>
  <hyperlinks>
    <hyperlink ref="Q4" r:id="rId1" display="https://jira.devtools.intel.com/browse/SGLANGT-496" xr:uid="{264F7475-61F8-4615-9917-6B3338578C63}"/>
    <hyperlink ref="AC12" r:id="rId2" xr:uid="{070CDF21-6051-44C7-971B-AF9A444EE6B9}"/>
    <hyperlink ref="AC13" r:id="rId3" xr:uid="{39CA49F8-D83A-4D82-BDAD-E18F22CD2FA3}"/>
    <hyperlink ref="AC9" r:id="rId4" xr:uid="{9D7B7F3D-1870-4941-8247-440464BB4BE2}"/>
    <hyperlink ref="AC36" r:id="rId5" xr:uid="{19783E9F-4149-4DB6-87A9-8EB3F0DF3140}"/>
    <hyperlink ref="AC37" r:id="rId6" xr:uid="{0EB3061C-2123-4A05-AF05-7EB7E1C4B277}"/>
    <hyperlink ref="AC43" r:id="rId7" xr:uid="{2B974362-5E31-4126-9803-2275F33D4400}"/>
    <hyperlink ref="AC19" r:id="rId8" xr:uid="{AAFE8445-E970-4EFA-9B15-2DC66250BA4B}"/>
    <hyperlink ref="AC21" r:id="rId9" xr:uid="{88B08F7D-974D-45D7-8B78-529B3CD1CF77}"/>
    <hyperlink ref="AC22" r:id="rId10" xr:uid="{7F32A596-C648-4A08-909F-B6DB6C41C264}"/>
    <hyperlink ref="AC31" r:id="rId11" xr:uid="{784B7C7A-7E75-4941-926C-CA46317717BB}"/>
    <hyperlink ref="AC45" r:id="rId12" xr:uid="{6694B708-ED7D-4334-8686-6080125E5DD2}"/>
    <hyperlink ref="AC46" r:id="rId13" xr:uid="{899A6C71-F057-4527-ACE5-003DFDD095D8}"/>
    <hyperlink ref="AC47" r:id="rId14" xr:uid="{EFEAE31C-3BBA-4FB6-B42B-B21779A04D9B}"/>
    <hyperlink ref="AC38" r:id="rId15" xr:uid="{F16E3972-76BA-4BE2-8F71-42C6B021E6AD}"/>
    <hyperlink ref="AC23" r:id="rId16" xr:uid="{F81BF55A-3D68-4313-BFA1-783854659C40}"/>
    <hyperlink ref="AC17" r:id="rId17" display="https://inteltf-jenk.sh.intel.com/job/ipex_pytorch_cpu_vllm_benchmark_router-serving-GNR-weekly/137/, https:/inteltf-jenk.sh.intel.com/job/ipex_pytorch_cpu_vllm_benchmark_router-serving-GNR-weekly/138/" xr:uid="{0A133455-F364-4393-8304-2C5B1D47D1A6}"/>
    <hyperlink ref="AC10" r:id="rId18" xr:uid="{3097E3B7-122E-4453-AEF7-179FB62BB91C}"/>
    <hyperlink ref="AC11" r:id="rId19" xr:uid="{5FEFF689-E789-4A19-8DC6-66266503A8E0}"/>
    <hyperlink ref="AC14" r:id="rId20" xr:uid="{5EBA2265-A000-4B5A-8030-AC95BBB7DF5E}"/>
    <hyperlink ref="AC42" r:id="rId21" xr:uid="{9AE3CF54-1994-4843-A46E-6BE8FB861B4E}"/>
  </hyperlinks>
  <pageMargins left="0.7" right="0.7" top="0.75" bottom="0.75" header="0.3" footer="0.3"/>
  <legacy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7091-0993-4601-9A7A-DB564FD5CE37}">
  <dimension ref="A1:AC55"/>
  <sheetViews>
    <sheetView topLeftCell="G2" zoomScale="71" zoomScaleNormal="71" workbookViewId="0">
      <selection activeCell="A20" sqref="A20"/>
    </sheetView>
  </sheetViews>
  <sheetFormatPr defaultColWidth="11" defaultRowHeight="15.75" customHeight="1"/>
  <cols>
    <col min="1" max="1" width="45.875" style="7" customWidth="1"/>
    <col min="2" max="2" width="30.875" style="9" hidden="1" customWidth="1"/>
    <col min="3" max="3" width="9.375" style="7" customWidth="1"/>
    <col min="4" max="4" width="13.625" style="9" customWidth="1"/>
    <col min="5" max="5" width="15.375" style="9" customWidth="1"/>
    <col min="6" max="6" width="13" style="9" customWidth="1"/>
    <col min="7" max="7" width="11.125" style="9" customWidth="1"/>
    <col min="8" max="8" width="23.375" style="9" customWidth="1"/>
    <col min="9" max="10" width="14.625" style="9" customWidth="1"/>
    <col min="11" max="11" width="11" style="9" customWidth="1"/>
    <col min="12" max="12" width="11.625" style="9" customWidth="1"/>
    <col min="13" max="14" width="11" style="9" customWidth="1"/>
    <col min="15" max="15" width="16.875" style="9" customWidth="1"/>
    <col min="16" max="16" width="38.125" style="9" customWidth="1"/>
    <col min="17" max="19" width="9" style="9" customWidth="1"/>
    <col min="20" max="20" width="16.125" style="9" customWidth="1"/>
    <col min="21" max="21" width="28.125" style="9" customWidth="1"/>
    <col min="22" max="26" width="9" style="9" customWidth="1"/>
    <col min="27" max="27" width="23.625" style="9" customWidth="1"/>
    <col min="28" max="16384" width="11" style="9"/>
  </cols>
  <sheetData>
    <row r="1" spans="1:29" ht="38.25" customHeight="1">
      <c r="A1" s="6" t="s">
        <v>103</v>
      </c>
      <c r="B1" s="14"/>
      <c r="D1" s="9" t="s">
        <v>104</v>
      </c>
      <c r="E1" s="9" t="s">
        <v>105</v>
      </c>
      <c r="F1" s="9" t="s">
        <v>106</v>
      </c>
      <c r="G1" s="257" t="s">
        <v>107</v>
      </c>
      <c r="H1" s="258"/>
      <c r="I1" s="258"/>
      <c r="J1" s="258"/>
      <c r="K1" s="257" t="s">
        <v>108</v>
      </c>
      <c r="L1" s="258"/>
      <c r="M1" s="258"/>
      <c r="N1" s="258"/>
      <c r="O1" s="258"/>
      <c r="P1" s="258"/>
    </row>
    <row r="2" spans="1:29" ht="65.25" customHeight="1">
      <c r="G2" s="258"/>
      <c r="H2" s="258"/>
      <c r="I2" s="258"/>
      <c r="J2" s="258"/>
      <c r="K2" s="258"/>
      <c r="L2" s="258"/>
      <c r="M2" s="258"/>
      <c r="N2" s="258"/>
      <c r="O2" s="258"/>
      <c r="P2" s="258"/>
    </row>
    <row r="3" spans="1:29" ht="15.75" customHeight="1">
      <c r="A3" s="264" t="s">
        <v>6</v>
      </c>
      <c r="B3" s="51"/>
      <c r="C3" s="45"/>
      <c r="F3" s="259" t="s">
        <v>109</v>
      </c>
      <c r="G3" s="260"/>
      <c r="H3" s="260"/>
      <c r="I3" s="260"/>
      <c r="J3" s="261"/>
      <c r="K3" s="263" t="s">
        <v>110</v>
      </c>
      <c r="L3" s="263"/>
      <c r="M3" s="263"/>
      <c r="N3" s="263"/>
      <c r="O3" s="52"/>
      <c r="P3" s="15"/>
      <c r="Q3" s="259" t="s">
        <v>211</v>
      </c>
      <c r="R3" s="260"/>
      <c r="S3" s="260"/>
      <c r="T3" s="260"/>
      <c r="V3" s="263" t="s">
        <v>110</v>
      </c>
      <c r="W3" s="263"/>
      <c r="X3" s="263"/>
      <c r="Y3" s="263"/>
      <c r="Z3" s="52"/>
    </row>
    <row r="4" spans="1:29" ht="15.75" customHeight="1">
      <c r="A4" s="264"/>
      <c r="B4" s="51"/>
      <c r="C4" s="7" t="s">
        <v>112</v>
      </c>
      <c r="D4" s="51" t="s">
        <v>113</v>
      </c>
      <c r="E4" s="51" t="s">
        <v>9</v>
      </c>
      <c r="F4" s="2" t="s">
        <v>10</v>
      </c>
      <c r="G4" s="2" t="s">
        <v>11</v>
      </c>
      <c r="H4" s="2" t="s">
        <v>12</v>
      </c>
      <c r="I4" s="3" t="s">
        <v>13</v>
      </c>
      <c r="J4" s="3" t="s">
        <v>114</v>
      </c>
      <c r="K4" s="52" t="s">
        <v>10</v>
      </c>
      <c r="L4" s="52" t="s">
        <v>11</v>
      </c>
      <c r="M4" s="52" t="s">
        <v>12</v>
      </c>
      <c r="N4" s="52" t="s">
        <v>13</v>
      </c>
      <c r="O4" s="52" t="s">
        <v>114</v>
      </c>
      <c r="P4" s="16" t="s">
        <v>115</v>
      </c>
      <c r="Q4" s="2" t="s">
        <v>11</v>
      </c>
      <c r="R4" s="2" t="s">
        <v>12</v>
      </c>
      <c r="S4" s="3" t="s">
        <v>13</v>
      </c>
      <c r="T4" s="3" t="s">
        <v>114</v>
      </c>
      <c r="U4" s="3" t="s">
        <v>212</v>
      </c>
      <c r="V4" s="52" t="s">
        <v>10</v>
      </c>
      <c r="W4" s="52" t="s">
        <v>11</v>
      </c>
      <c r="X4" s="52" t="s">
        <v>12</v>
      </c>
      <c r="Y4" s="52" t="s">
        <v>13</v>
      </c>
      <c r="Z4" s="52" t="s">
        <v>114</v>
      </c>
      <c r="AA4" s="9" t="s">
        <v>213</v>
      </c>
      <c r="AB4" s="9" t="s">
        <v>242</v>
      </c>
      <c r="AC4" s="9" t="s">
        <v>19</v>
      </c>
    </row>
    <row r="5" spans="1:29" ht="15.75" customHeight="1">
      <c r="A5" s="45"/>
      <c r="B5" s="51"/>
      <c r="D5" s="51" t="s">
        <v>116</v>
      </c>
      <c r="E5" s="51" t="s">
        <v>117</v>
      </c>
      <c r="F5" s="2"/>
      <c r="G5" s="2"/>
      <c r="H5" s="2"/>
      <c r="I5" s="3"/>
      <c r="J5" s="3"/>
      <c r="K5" s="15"/>
      <c r="L5" s="52"/>
      <c r="M5" s="52"/>
      <c r="N5" s="52"/>
      <c r="O5" s="52"/>
      <c r="P5" s="15"/>
      <c r="Q5" s="2"/>
      <c r="R5" s="2"/>
      <c r="S5" s="3"/>
      <c r="T5" s="3"/>
      <c r="V5" s="15"/>
      <c r="W5" s="52"/>
      <c r="X5" s="52"/>
      <c r="Y5" s="52"/>
      <c r="Z5" s="52"/>
    </row>
    <row r="6" spans="1:29" ht="15.75" customHeight="1">
      <c r="A6" s="85" t="s">
        <v>22</v>
      </c>
      <c r="C6" s="54">
        <v>3</v>
      </c>
      <c r="D6" s="9" cm="1">
        <f t="array" ref="D6">_xlfn.LET(
_xlpm.x,LOWER(A6),
_xlpm.parts,_xlfn.TEXTSPLIT(_xlpm.x,"-"),
VALUE(_xlfn.TEXTBEFORE(INDEX(_xlfn._xlws.FILTER(_xlpm.parts,ISNUMBER(SEARCH("b",_xlpm.parts))),1),"b"))
)</f>
        <v>8</v>
      </c>
      <c r="E6" s="9" t="s">
        <v>24</v>
      </c>
      <c r="F6" s="17" t="str">
        <f>IF(D6&lt;10,"DP6",IF(D6&lt;=30,"TP2DP2","TP4"))</f>
        <v>DP6</v>
      </c>
      <c r="G6" s="135">
        <v>33</v>
      </c>
      <c r="H6" s="135">
        <v>4.8550000000000004</v>
      </c>
      <c r="I6" s="135">
        <v>86.6</v>
      </c>
      <c r="J6" s="135">
        <v>357.38</v>
      </c>
      <c r="K6" s="15" t="s">
        <v>25</v>
      </c>
      <c r="L6" s="15">
        <v>63</v>
      </c>
      <c r="M6" s="15">
        <v>4.9889999999999999</v>
      </c>
      <c r="N6" s="15">
        <v>95.25</v>
      </c>
      <c r="O6" s="15">
        <v>611.57000000000005</v>
      </c>
      <c r="P6" s="15"/>
      <c r="Q6" s="18">
        <v>11</v>
      </c>
      <c r="R6" s="18">
        <v>4.7469999999999999</v>
      </c>
      <c r="S6" s="19">
        <v>85.42</v>
      </c>
      <c r="T6" s="19">
        <v>119.54</v>
      </c>
      <c r="U6" s="42">
        <f t="shared" ref="U6:U19" si="0">J6/T6</f>
        <v>2.9896269031286598</v>
      </c>
      <c r="V6" s="61" t="s">
        <v>25</v>
      </c>
      <c r="W6" s="61">
        <v>63</v>
      </c>
      <c r="X6" s="61">
        <v>4885.2299999999996</v>
      </c>
      <c r="Y6" s="61">
        <v>95.4</v>
      </c>
      <c r="Z6" s="61">
        <v>645.95000000000005</v>
      </c>
      <c r="AA6" s="42">
        <f t="shared" ref="AA6:AA19" si="1">J6/Z6</f>
        <v>0.55326263642696794</v>
      </c>
      <c r="AB6" s="27" t="s">
        <v>27</v>
      </c>
    </row>
    <row r="7" spans="1:29" ht="15.75" customHeight="1">
      <c r="A7" s="85" t="s">
        <v>29</v>
      </c>
      <c r="C7" s="54">
        <v>3</v>
      </c>
      <c r="D7" s="9" cm="1">
        <f t="array" ref="D7">_xlfn.LET(
_xlpm.x,LOWER(A7),
_xlpm.parts,_xlfn.TEXTSPLIT(_xlpm.x,"-"),
VALUE(_xlfn.TEXTBEFORE(INDEX(_xlfn._xlws.FILTER(_xlpm.parts,ISNUMBER(SEARCH("b",_xlpm.parts))),1),"b"))
)</f>
        <v>1</v>
      </c>
      <c r="E7" s="9" t="s">
        <v>24</v>
      </c>
      <c r="F7" s="17" t="str">
        <f>IF(D7&lt;10,"DP6",IF(D7&lt;=30,"TP2DP2","TP4"))</f>
        <v>DP6</v>
      </c>
      <c r="G7" s="135">
        <v>524</v>
      </c>
      <c r="H7" s="135">
        <v>4.9779999999999998</v>
      </c>
      <c r="I7" s="135">
        <v>54.13</v>
      </c>
      <c r="J7" s="135">
        <v>8742.75</v>
      </c>
      <c r="K7" s="15" t="s">
        <v>25</v>
      </c>
      <c r="L7" s="15">
        <v>546</v>
      </c>
      <c r="M7" s="15">
        <v>4.9109999999999996</v>
      </c>
      <c r="N7" s="15">
        <v>80.2</v>
      </c>
      <c r="O7" s="15">
        <v>5932.79</v>
      </c>
      <c r="P7" s="15"/>
      <c r="Q7" s="18">
        <v>31</v>
      </c>
      <c r="R7" s="18">
        <v>1.8080000000000001</v>
      </c>
      <c r="S7" s="19">
        <v>27.97</v>
      </c>
      <c r="T7" s="19">
        <v>973.71</v>
      </c>
      <c r="U7" s="42">
        <f t="shared" si="0"/>
        <v>8.9788027236035362</v>
      </c>
      <c r="V7" s="61" t="s">
        <v>25</v>
      </c>
      <c r="W7" s="61">
        <v>555</v>
      </c>
      <c r="X7" s="61">
        <v>4859.08</v>
      </c>
      <c r="Y7" s="61">
        <v>82.11</v>
      </c>
      <c r="Z7" s="61">
        <v>6048.39</v>
      </c>
      <c r="AA7" s="42">
        <f t="shared" si="1"/>
        <v>1.4454673061756929</v>
      </c>
      <c r="AB7" s="27" t="s">
        <v>27</v>
      </c>
    </row>
    <row r="8" spans="1:29" ht="15.75" customHeight="1">
      <c r="A8" s="85" t="s">
        <v>30</v>
      </c>
      <c r="C8" s="54">
        <v>3</v>
      </c>
      <c r="D8" s="9" cm="1">
        <f t="array" ref="D8">_xlfn.LET(
_xlpm.x,LOWER(A8),
_xlpm.parts,_xlfn.TEXTSPLIT(_xlpm.x,"-"),
VALUE(_xlfn.TEXTBEFORE(INDEX(_xlfn._xlws.FILTER(_xlpm.parts,ISNUMBER(SEARCH("b",_xlpm.parts))),1),"b"))
)</f>
        <v>3</v>
      </c>
      <c r="E8" s="9" t="s">
        <v>24</v>
      </c>
      <c r="F8" s="17" t="str">
        <f>IF(D8&lt;10,"DP6",IF(D8&lt;=30,"TP2DP2","TP4"))</f>
        <v>DP6</v>
      </c>
      <c r="G8" s="135">
        <v>90</v>
      </c>
      <c r="H8" s="135">
        <v>3.5089999999999999</v>
      </c>
      <c r="I8" s="135">
        <v>99.13</v>
      </c>
      <c r="J8" s="135">
        <v>867.23</v>
      </c>
      <c r="K8" s="15" t="s">
        <v>25</v>
      </c>
      <c r="L8" s="15">
        <v>194</v>
      </c>
      <c r="M8" s="15">
        <v>4.9800000000000004</v>
      </c>
      <c r="N8" s="15">
        <v>90.76</v>
      </c>
      <c r="O8" s="15">
        <v>1897</v>
      </c>
      <c r="P8" s="15"/>
      <c r="Q8" s="18">
        <v>1</v>
      </c>
      <c r="R8" s="18">
        <v>0.38400000000000001</v>
      </c>
      <c r="S8" s="19">
        <v>73.42</v>
      </c>
      <c r="T8" s="19">
        <v>13.52</v>
      </c>
      <c r="U8" s="42">
        <f t="shared" si="0"/>
        <v>64.144230769230774</v>
      </c>
      <c r="V8" s="61" t="s">
        <v>25</v>
      </c>
      <c r="W8" s="61">
        <v>200</v>
      </c>
      <c r="X8" s="61">
        <v>4937.9799999999996</v>
      </c>
      <c r="Y8" s="61">
        <v>94.13</v>
      </c>
      <c r="Z8" s="61">
        <v>1917.47</v>
      </c>
      <c r="AA8" s="42">
        <f t="shared" si="1"/>
        <v>0.45227826250215125</v>
      </c>
      <c r="AB8" s="27" t="s">
        <v>27</v>
      </c>
    </row>
    <row r="9" spans="1:29" ht="15.75" customHeight="1">
      <c r="A9" s="85" t="s">
        <v>31</v>
      </c>
      <c r="B9" s="85"/>
      <c r="C9" s="54">
        <v>3</v>
      </c>
      <c r="D9" s="54" cm="1">
        <f t="array" ref="D9">_xlfn.LET(
_xlpm.x,LOWER(A9),
_xlpm.parts,_xlfn.TEXTSPLIT(_xlpm.x,"-"),
VALUE(_xlfn.TEXTBEFORE(INDEX(_xlfn._xlws.FILTER(_xlpm.parts,ISNUMBER(SEARCH("b",_xlpm.parts))),1),"b"))
)</f>
        <v>70</v>
      </c>
      <c r="E9" s="54" t="s">
        <v>24</v>
      </c>
      <c r="F9" s="17" t="str">
        <f>IF(D9&lt;10,"DP6",IF(D9&lt;=30,"TP2DP2","TP4"))</f>
        <v>TP4</v>
      </c>
      <c r="G9" s="135">
        <v>1</v>
      </c>
      <c r="H9" s="135">
        <v>1.796</v>
      </c>
      <c r="I9" s="135">
        <v>168.84</v>
      </c>
      <c r="J9" s="135">
        <v>5.87</v>
      </c>
      <c r="K9" s="23" t="s">
        <v>34</v>
      </c>
      <c r="L9" s="23">
        <v>1</v>
      </c>
      <c r="M9" s="23">
        <v>1.6579999999999999</v>
      </c>
      <c r="N9" s="23">
        <v>122.72</v>
      </c>
      <c r="O9" s="23">
        <v>8.0500000000000007</v>
      </c>
      <c r="P9" s="15"/>
      <c r="Q9" s="20">
        <v>1</v>
      </c>
      <c r="R9" s="21">
        <v>6.726</v>
      </c>
      <c r="S9" s="21">
        <v>604.42999999999995</v>
      </c>
      <c r="T9" s="22">
        <v>3.27</v>
      </c>
      <c r="U9" s="42">
        <f t="shared" si="0"/>
        <v>1.7951070336391437</v>
      </c>
      <c r="V9" s="61" t="s">
        <v>34</v>
      </c>
      <c r="W9" s="61">
        <v>1</v>
      </c>
      <c r="X9" s="61">
        <v>1693.11</v>
      </c>
      <c r="Y9" s="61">
        <v>123.14</v>
      </c>
      <c r="Z9" s="61">
        <v>8.02</v>
      </c>
      <c r="AA9" s="42">
        <f t="shared" si="1"/>
        <v>0.73192019950124698</v>
      </c>
      <c r="AB9" s="27" t="s">
        <v>35</v>
      </c>
    </row>
    <row r="10" spans="1:29" ht="15.95">
      <c r="A10" s="136" t="s">
        <v>36</v>
      </c>
      <c r="B10" s="86" t="s">
        <v>37</v>
      </c>
      <c r="C10" s="54">
        <v>3</v>
      </c>
      <c r="D10" s="9" cm="1">
        <f t="array" ref="D10">_xlfn.LET(
_xlpm.x,LOWER(A10),
_xlpm.parts,_xlfn.TEXTSPLIT(_xlpm.x,"-"),
VALUE(_xlfn.TEXTBEFORE(INDEX(_xlfn._xlws.FILTER(_xlpm.parts,ISNUMBER(SEARCH("b",_xlpm.parts))),1),"b"))
)</f>
        <v>17</v>
      </c>
      <c r="E10" s="9" t="s">
        <v>24</v>
      </c>
      <c r="F10" s="34" t="s">
        <v>32</v>
      </c>
      <c r="G10" s="135">
        <v>2</v>
      </c>
      <c r="H10" s="135">
        <v>1.1439999999999999</v>
      </c>
      <c r="I10" s="135">
        <v>85.78</v>
      </c>
      <c r="J10" s="135">
        <v>23.03</v>
      </c>
      <c r="K10" s="24" t="s">
        <v>34</v>
      </c>
      <c r="L10" s="24">
        <v>2</v>
      </c>
      <c r="M10" s="24">
        <v>1.2949999999999999</v>
      </c>
      <c r="N10" s="24">
        <v>97.04</v>
      </c>
      <c r="O10" s="24">
        <v>20.36</v>
      </c>
      <c r="P10" s="24"/>
      <c r="Q10" s="24"/>
      <c r="R10" s="24" t="s">
        <v>124</v>
      </c>
      <c r="S10" s="25"/>
      <c r="T10" s="25"/>
      <c r="U10" s="42" t="e">
        <f t="shared" si="0"/>
        <v>#DIV/0!</v>
      </c>
      <c r="V10" s="62" t="s">
        <v>34</v>
      </c>
      <c r="W10" s="62">
        <v>2</v>
      </c>
      <c r="X10" s="62">
        <v>1.2949999999999999</v>
      </c>
      <c r="Y10" s="62">
        <v>97.04</v>
      </c>
      <c r="Z10" s="62">
        <v>20.36</v>
      </c>
      <c r="AA10" s="42">
        <f t="shared" si="1"/>
        <v>1.131139489194499</v>
      </c>
      <c r="AB10" s="27" t="s">
        <v>38</v>
      </c>
      <c r="AC10" s="132" t="s">
        <v>39</v>
      </c>
    </row>
    <row r="11" spans="1:29" ht="18" customHeight="1">
      <c r="A11" s="85" t="s">
        <v>40</v>
      </c>
      <c r="B11"/>
      <c r="C11" s="54">
        <v>1</v>
      </c>
      <c r="D11" s="54" t="s">
        <v>24</v>
      </c>
      <c r="E11" s="54" t="s">
        <v>24</v>
      </c>
      <c r="F11" s="87" t="s">
        <v>32</v>
      </c>
      <c r="G11" s="135">
        <v>4</v>
      </c>
      <c r="H11" s="135">
        <v>2.556</v>
      </c>
      <c r="I11" s="135">
        <v>98.97</v>
      </c>
      <c r="J11" s="135">
        <v>39.53</v>
      </c>
      <c r="K11" s="65" t="s">
        <v>34</v>
      </c>
      <c r="L11" s="24">
        <v>8</v>
      </c>
      <c r="M11" s="24">
        <v>3.7770000000000001</v>
      </c>
      <c r="N11" s="24">
        <v>98.87</v>
      </c>
      <c r="O11" s="24">
        <v>78.069999999999993</v>
      </c>
      <c r="P11" s="24"/>
      <c r="Q11" s="24"/>
      <c r="R11" s="24" t="s">
        <v>124</v>
      </c>
      <c r="S11" s="25"/>
      <c r="T11" s="25"/>
      <c r="U11" s="42" t="e">
        <f t="shared" si="0"/>
        <v>#DIV/0!</v>
      </c>
      <c r="V11" s="62" t="s">
        <v>34</v>
      </c>
      <c r="W11" s="62">
        <v>8</v>
      </c>
      <c r="X11" s="62">
        <v>3.7770000000000001</v>
      </c>
      <c r="Y11" s="62">
        <v>98.87</v>
      </c>
      <c r="Z11" s="62">
        <v>78.069999999999993</v>
      </c>
      <c r="AA11" s="42">
        <f t="shared" si="1"/>
        <v>0.50634046368643526</v>
      </c>
      <c r="AB11" s="27" t="s">
        <v>41</v>
      </c>
    </row>
    <row r="12" spans="1:29" ht="15.75" customHeight="1">
      <c r="A12" s="85" t="s">
        <v>42</v>
      </c>
      <c r="B12" s="85"/>
      <c r="C12" s="54">
        <v>1</v>
      </c>
      <c r="D12" s="54" t="s">
        <v>24</v>
      </c>
      <c r="E12" s="54" t="s">
        <v>24</v>
      </c>
      <c r="F12" s="103" t="s">
        <v>43</v>
      </c>
      <c r="G12" s="135">
        <v>1</v>
      </c>
      <c r="H12" s="135">
        <v>1.47</v>
      </c>
      <c r="I12" s="135">
        <v>152.22999999999999</v>
      </c>
      <c r="J12" s="135">
        <v>6.51</v>
      </c>
      <c r="K12" s="26" t="s">
        <v>44</v>
      </c>
      <c r="L12" s="23">
        <v>1</v>
      </c>
      <c r="M12" s="23">
        <v>1.208</v>
      </c>
      <c r="N12" s="23">
        <v>103</v>
      </c>
      <c r="O12" s="23">
        <v>9.67</v>
      </c>
      <c r="P12" s="15"/>
      <c r="Q12" s="24">
        <v>1</v>
      </c>
      <c r="R12" s="24">
        <v>4.1349999999999998</v>
      </c>
      <c r="S12" s="25">
        <v>307441</v>
      </c>
      <c r="T12" s="25">
        <v>3.29</v>
      </c>
      <c r="U12" s="42">
        <f t="shared" si="0"/>
        <v>1.978723404255319</v>
      </c>
      <c r="V12" s="61" t="s">
        <v>44</v>
      </c>
      <c r="W12" s="57">
        <v>1</v>
      </c>
      <c r="X12" s="57">
        <v>1171.8699999999999</v>
      </c>
      <c r="Y12" s="57">
        <v>102.5</v>
      </c>
      <c r="Z12" s="57">
        <v>9.66</v>
      </c>
      <c r="AA12" s="42">
        <f t="shared" si="1"/>
        <v>0.67391304347826086</v>
      </c>
      <c r="AB12" s="27" t="s">
        <v>45</v>
      </c>
    </row>
    <row r="13" spans="1:29" ht="15.75" customHeight="1">
      <c r="A13" s="85" t="s">
        <v>46</v>
      </c>
      <c r="B13" s="85"/>
      <c r="C13" s="54">
        <v>1</v>
      </c>
      <c r="D13" s="54" t="s">
        <v>24</v>
      </c>
      <c r="E13" s="54" t="s">
        <v>24</v>
      </c>
      <c r="F13" s="101" t="s">
        <v>32</v>
      </c>
      <c r="G13" s="135">
        <v>1</v>
      </c>
      <c r="H13" s="135">
        <v>1.194</v>
      </c>
      <c r="I13" s="135">
        <v>85.59</v>
      </c>
      <c r="J13" s="135">
        <v>11.54</v>
      </c>
      <c r="K13" s="26" t="s">
        <v>34</v>
      </c>
      <c r="L13" s="15">
        <v>2</v>
      </c>
      <c r="M13" s="15">
        <v>1.6160000000000001</v>
      </c>
      <c r="N13" s="15">
        <v>84.01</v>
      </c>
      <c r="O13" s="15">
        <v>23.39</v>
      </c>
      <c r="P13" s="15"/>
      <c r="Q13" s="24">
        <v>1</v>
      </c>
      <c r="R13" s="24">
        <v>3.5310000000000001</v>
      </c>
      <c r="S13" s="25">
        <v>247.66</v>
      </c>
      <c r="T13" s="25">
        <v>7.98</v>
      </c>
      <c r="U13" s="42">
        <f t="shared" si="0"/>
        <v>1.4461152882205512</v>
      </c>
      <c r="V13" s="61" t="s">
        <v>34</v>
      </c>
      <c r="W13" s="57">
        <v>2</v>
      </c>
      <c r="X13" s="57">
        <v>1752.57</v>
      </c>
      <c r="Y13" s="57">
        <v>83.59</v>
      </c>
      <c r="Z13" s="57">
        <v>23.46</v>
      </c>
      <c r="AA13" s="42">
        <f t="shared" si="1"/>
        <v>0.49190110826939465</v>
      </c>
      <c r="AB13" s="27" t="s">
        <v>41</v>
      </c>
    </row>
    <row r="14" spans="1:29" ht="15.75" customHeight="1">
      <c r="A14" s="85" t="s">
        <v>47</v>
      </c>
      <c r="B14" s="9" t="s">
        <v>48</v>
      </c>
      <c r="C14" s="54">
        <v>3</v>
      </c>
      <c r="D14" s="9" cm="1">
        <f t="array" ref="D14">_xlfn.LET(
_xlpm.x,LOWER(A14),
_xlpm.parts,_xlfn.TEXTSPLIT(_xlpm.x,"-"),
VALUE(_xlfn.TEXTBEFORE(INDEX(_xlfn._xlws.FILTER(_xlpm.parts,ISNUMBER(SEARCH("b",_xlpm.parts))),1),"b"))
)</f>
        <v>11</v>
      </c>
      <c r="E14" s="9" t="s">
        <v>24</v>
      </c>
      <c r="F14" s="24" t="str">
        <f>IF(D14&lt;10,"DP6",IF(D14&lt;=30,"TP2DP2","TP4"))</f>
        <v>TP2DP2</v>
      </c>
      <c r="G14" s="24" t="s">
        <v>49</v>
      </c>
      <c r="H14" s="24"/>
      <c r="I14" s="24"/>
      <c r="J14" s="24"/>
      <c r="K14" s="98" t="s">
        <v>44</v>
      </c>
      <c r="L14" s="15">
        <v>8</v>
      </c>
      <c r="M14" s="15">
        <v>4.8209999999999997</v>
      </c>
      <c r="N14" s="15">
        <v>59.2</v>
      </c>
      <c r="O14" s="15">
        <v>125.27</v>
      </c>
      <c r="P14" s="15"/>
      <c r="Q14" s="24"/>
      <c r="R14" s="24" t="s">
        <v>49</v>
      </c>
      <c r="S14" s="25"/>
      <c r="T14" s="25"/>
      <c r="U14" s="42" t="e">
        <f t="shared" si="0"/>
        <v>#DIV/0!</v>
      </c>
      <c r="V14" s="62" t="s">
        <v>44</v>
      </c>
      <c r="W14" s="62">
        <v>8</v>
      </c>
      <c r="X14" s="62">
        <v>4.8209999999999997</v>
      </c>
      <c r="Y14" s="62">
        <v>59.2</v>
      </c>
      <c r="Z14" s="62">
        <v>125.27</v>
      </c>
      <c r="AA14" s="42">
        <f t="shared" si="1"/>
        <v>0</v>
      </c>
      <c r="AB14" s="27" t="s">
        <v>50</v>
      </c>
    </row>
    <row r="15" spans="1:29" ht="15.75" customHeight="1">
      <c r="A15" s="85" t="s">
        <v>51</v>
      </c>
      <c r="C15" s="54">
        <v>3</v>
      </c>
      <c r="D15" s="9">
        <v>3</v>
      </c>
      <c r="E15" s="9" t="s">
        <v>24</v>
      </c>
      <c r="F15" s="112" t="str">
        <f>IF(D15&lt;10,"DP6",IF(D15&lt;=30,"TP2DP2","TP4"))</f>
        <v>DP6</v>
      </c>
      <c r="G15" s="131">
        <v>813</v>
      </c>
      <c r="H15" s="131">
        <v>3.66</v>
      </c>
      <c r="I15" s="131">
        <v>99.73</v>
      </c>
      <c r="J15" s="131">
        <v>7810.31</v>
      </c>
      <c r="K15" s="15" t="s">
        <v>25</v>
      </c>
      <c r="L15" s="15">
        <v>640</v>
      </c>
      <c r="M15" s="29">
        <v>3.4249999999999998</v>
      </c>
      <c r="N15" s="29">
        <v>99.81</v>
      </c>
      <c r="O15" s="29">
        <v>5575.87</v>
      </c>
      <c r="P15" s="15"/>
      <c r="Q15" s="17">
        <v>26</v>
      </c>
      <c r="R15" s="17">
        <v>0.74</v>
      </c>
      <c r="S15" s="28">
        <v>29.51</v>
      </c>
      <c r="T15" s="28">
        <v>758.29</v>
      </c>
      <c r="U15" s="42">
        <f t="shared" si="0"/>
        <v>10.299898455735933</v>
      </c>
      <c r="V15" s="62" t="s">
        <v>25</v>
      </c>
      <c r="W15" s="62">
        <v>640</v>
      </c>
      <c r="X15" s="62">
        <v>3.4249999999999998</v>
      </c>
      <c r="Y15" s="62">
        <v>99.81</v>
      </c>
      <c r="Z15" s="62">
        <v>5575.87</v>
      </c>
      <c r="AA15" s="42">
        <f t="shared" si="1"/>
        <v>1.400733876507164</v>
      </c>
      <c r="AB15" s="27" t="s">
        <v>27</v>
      </c>
    </row>
    <row r="16" spans="1:29" ht="15.75" customHeight="1">
      <c r="A16" s="85" t="s">
        <v>52</v>
      </c>
      <c r="B16"/>
      <c r="C16" s="54">
        <v>1</v>
      </c>
      <c r="D16" t="s">
        <v>24</v>
      </c>
      <c r="E16" s="54" t="s">
        <v>24</v>
      </c>
      <c r="F16" s="101" t="s">
        <v>25</v>
      </c>
      <c r="G16" s="131">
        <v>142</v>
      </c>
      <c r="H16" s="131">
        <v>4.9509999999999996</v>
      </c>
      <c r="I16" s="131">
        <v>71.98</v>
      </c>
      <c r="J16" s="131">
        <v>1823.23</v>
      </c>
      <c r="K16" s="26" t="s">
        <v>25</v>
      </c>
      <c r="L16" s="15">
        <v>152</v>
      </c>
      <c r="M16" s="15">
        <v>4.9870000000000001</v>
      </c>
      <c r="N16" s="15">
        <v>84.07</v>
      </c>
      <c r="O16" s="15">
        <v>1600.89</v>
      </c>
      <c r="P16" s="15"/>
      <c r="Q16" s="17">
        <v>21</v>
      </c>
      <c r="R16" s="17">
        <v>4.3019999999999996</v>
      </c>
      <c r="S16" s="28">
        <v>71.06</v>
      </c>
      <c r="T16" s="28">
        <v>278.36</v>
      </c>
      <c r="U16" s="42">
        <f t="shared" si="0"/>
        <v>6.5498994108348896</v>
      </c>
      <c r="V16" s="62" t="s">
        <v>25</v>
      </c>
      <c r="W16" s="62">
        <v>152</v>
      </c>
      <c r="X16" s="62">
        <v>4.9870000000000001</v>
      </c>
      <c r="Y16" s="62">
        <v>84.07</v>
      </c>
      <c r="Z16" s="62">
        <v>1600.89</v>
      </c>
      <c r="AA16" s="42">
        <f t="shared" si="1"/>
        <v>1.1388852450824229</v>
      </c>
      <c r="AB16" s="27" t="s">
        <v>53</v>
      </c>
    </row>
    <row r="17" spans="1:29" ht="15.75" customHeight="1">
      <c r="A17" s="136" t="s">
        <v>54</v>
      </c>
      <c r="C17" s="54">
        <v>3</v>
      </c>
      <c r="D17" s="9" cm="1">
        <f t="array" ref="D17">_xlfn.LET(
_xlpm.x,LOWER(A17),
_xlpm.parts,_xlfn.TEXTSPLIT(_xlpm.x,"-"),
VALUE(_xlfn.TEXTBEFORE(INDEX(_xlfn._xlws.FILTER(_xlpm.parts,ISNUMBER(SEARCH("b",_xlpm.parts))),1),"b"))
)</f>
        <v>12</v>
      </c>
      <c r="E17" s="9" t="s">
        <v>24</v>
      </c>
      <c r="F17" s="17" t="str">
        <f>IF(D17&lt;10,"DP6",IF(D17&lt;=30,"TP2DP2","TP4"))</f>
        <v>TP2DP2</v>
      </c>
      <c r="G17" s="134">
        <v>23</v>
      </c>
      <c r="H17" s="134">
        <v>4.7699999999999996</v>
      </c>
      <c r="I17" s="134">
        <v>88.44</v>
      </c>
      <c r="J17" s="134">
        <v>245.45</v>
      </c>
      <c r="K17" s="98" t="s">
        <v>44</v>
      </c>
      <c r="L17" s="15">
        <v>22</v>
      </c>
      <c r="M17" s="15">
        <v>1.806</v>
      </c>
      <c r="N17" s="15">
        <v>99.77</v>
      </c>
      <c r="O17" s="15">
        <v>210.46</v>
      </c>
      <c r="P17" s="15" t="s">
        <v>136</v>
      </c>
      <c r="Q17" s="24">
        <v>1</v>
      </c>
      <c r="R17" s="24">
        <v>1.4550000000000001</v>
      </c>
      <c r="S17" s="25">
        <v>130.31</v>
      </c>
      <c r="T17" s="25">
        <v>15.2</v>
      </c>
      <c r="U17" s="42">
        <f t="shared" si="0"/>
        <v>16.148026315789473</v>
      </c>
      <c r="V17" s="62" t="s">
        <v>44</v>
      </c>
      <c r="W17" s="62">
        <v>22</v>
      </c>
      <c r="X17" s="62">
        <v>1.806</v>
      </c>
      <c r="Y17" s="62">
        <v>99.77</v>
      </c>
      <c r="Z17" s="62">
        <v>210.46</v>
      </c>
      <c r="AA17" s="42">
        <f t="shared" si="1"/>
        <v>1.1662548702841393</v>
      </c>
      <c r="AB17" s="27" t="s">
        <v>55</v>
      </c>
      <c r="AC17" s="9" t="s">
        <v>56</v>
      </c>
    </row>
    <row r="18" spans="1:29" ht="15.75" customHeight="1">
      <c r="A18" s="85" t="s">
        <v>57</v>
      </c>
      <c r="B18"/>
      <c r="C18" s="54">
        <v>1</v>
      </c>
      <c r="D18" t="s">
        <v>24</v>
      </c>
      <c r="E18" s="54" t="s">
        <v>24</v>
      </c>
      <c r="F18" s="116" t="s">
        <v>25</v>
      </c>
      <c r="G18" s="133">
        <v>20</v>
      </c>
      <c r="H18" s="133">
        <v>1.89</v>
      </c>
      <c r="I18" s="133">
        <v>99.27</v>
      </c>
      <c r="J18" s="133">
        <v>190.04</v>
      </c>
      <c r="K18" s="26" t="s">
        <v>25</v>
      </c>
      <c r="L18" s="15">
        <v>14</v>
      </c>
      <c r="M18" s="15">
        <v>1.66</v>
      </c>
      <c r="N18" s="15">
        <v>96.69</v>
      </c>
      <c r="O18" s="15">
        <v>131.36000000000001</v>
      </c>
      <c r="P18" s="15"/>
      <c r="Q18" s="17">
        <v>1</v>
      </c>
      <c r="R18" s="17">
        <v>1.056</v>
      </c>
      <c r="S18" s="28">
        <v>93.69</v>
      </c>
      <c r="T18" s="28">
        <v>10.98</v>
      </c>
      <c r="U18" s="42">
        <f t="shared" si="0"/>
        <v>17.307832422586518</v>
      </c>
      <c r="V18" s="61" t="s">
        <v>25</v>
      </c>
      <c r="W18" s="57">
        <v>73</v>
      </c>
      <c r="X18" s="57">
        <v>2721.22</v>
      </c>
      <c r="Y18" s="57">
        <v>98.65</v>
      </c>
      <c r="Z18" s="57">
        <v>686.11</v>
      </c>
      <c r="AA18" s="42">
        <f t="shared" si="1"/>
        <v>0.27698182507178148</v>
      </c>
      <c r="AB18" s="27" t="s">
        <v>53</v>
      </c>
    </row>
    <row r="19" spans="1:29" ht="15.75" customHeight="1">
      <c r="A19" s="85" t="s">
        <v>58</v>
      </c>
      <c r="C19" s="54">
        <v>3</v>
      </c>
      <c r="D19" s="9">
        <v>14</v>
      </c>
      <c r="E19" s="9" t="s">
        <v>24</v>
      </c>
      <c r="F19" s="17" t="str">
        <f>IF(D19&lt;10,"DP6",IF(D19&lt;=30,"TP2DP2","TP4"))</f>
        <v>TP2DP2</v>
      </c>
      <c r="G19" s="134">
        <v>19</v>
      </c>
      <c r="H19" s="134">
        <v>4.3339999999999996</v>
      </c>
      <c r="I19" s="134">
        <v>87.64</v>
      </c>
      <c r="J19" s="134">
        <v>204.58</v>
      </c>
      <c r="K19" s="98" t="s">
        <v>44</v>
      </c>
      <c r="L19" s="15">
        <v>16</v>
      </c>
      <c r="M19" s="15">
        <v>4.7889999999999997</v>
      </c>
      <c r="N19" s="15">
        <v>75.180000000000007</v>
      </c>
      <c r="O19" s="15">
        <v>200.5</v>
      </c>
      <c r="P19" s="15" t="s">
        <v>140</v>
      </c>
      <c r="Q19" s="24">
        <v>1</v>
      </c>
      <c r="R19" s="24">
        <v>1.762</v>
      </c>
      <c r="S19" s="25">
        <v>207.64</v>
      </c>
      <c r="T19" s="25">
        <v>11.92</v>
      </c>
      <c r="U19" s="47">
        <f t="shared" si="0"/>
        <v>17.162751677852349</v>
      </c>
      <c r="V19" s="61" t="s">
        <v>44</v>
      </c>
      <c r="W19" s="57">
        <v>15</v>
      </c>
      <c r="X19" s="57">
        <v>4890.55</v>
      </c>
      <c r="Y19" s="57">
        <v>71.680000000000007</v>
      </c>
      <c r="Z19" s="57">
        <v>196.35</v>
      </c>
      <c r="AA19" s="42">
        <f t="shared" si="1"/>
        <v>1.0419149477973009</v>
      </c>
      <c r="AB19" s="27" t="s">
        <v>55</v>
      </c>
    </row>
    <row r="20" spans="1:29" ht="15.75" customHeight="1">
      <c r="A20" s="85" t="s">
        <v>59</v>
      </c>
      <c r="C20" s="54">
        <v>3</v>
      </c>
      <c r="D20" s="9">
        <v>5</v>
      </c>
      <c r="E20" s="9" t="s">
        <v>24</v>
      </c>
      <c r="F20" s="117" t="s">
        <v>25</v>
      </c>
      <c r="G20" s="133">
        <v>63</v>
      </c>
      <c r="H20" s="133">
        <v>2.8370000000000002</v>
      </c>
      <c r="I20" s="133">
        <v>99.03</v>
      </c>
      <c r="J20" s="133">
        <v>607.67999999999995</v>
      </c>
      <c r="L20" s="15">
        <v>89</v>
      </c>
      <c r="M20" s="15">
        <v>4.9489999999999998</v>
      </c>
      <c r="N20" s="15">
        <v>85.14</v>
      </c>
      <c r="O20" s="15">
        <v>546.47</v>
      </c>
      <c r="P20" s="15"/>
      <c r="Q20" s="17">
        <v>11</v>
      </c>
      <c r="R20" s="17">
        <v>2.399</v>
      </c>
      <c r="S20" s="28">
        <v>96.16</v>
      </c>
      <c r="T20" s="28">
        <v>111.54</v>
      </c>
      <c r="U20" s="42">
        <f>I20/T20</f>
        <v>0.88784292630446471</v>
      </c>
      <c r="V20" s="62" t="s">
        <v>25</v>
      </c>
      <c r="W20" s="62">
        <v>89</v>
      </c>
      <c r="X20" s="62">
        <v>4.9489999999999998</v>
      </c>
      <c r="Y20" s="62">
        <v>85.14</v>
      </c>
      <c r="Z20" s="62">
        <v>546.47</v>
      </c>
      <c r="AA20" s="42">
        <f>I20/Z20</f>
        <v>0.18121763317290976</v>
      </c>
      <c r="AB20" s="27" t="s">
        <v>27</v>
      </c>
    </row>
    <row r="21" spans="1:29" ht="15.75" customHeight="1">
      <c r="A21" s="85" t="s">
        <v>60</v>
      </c>
      <c r="C21" s="54">
        <v>3</v>
      </c>
      <c r="D21" s="9" cm="1">
        <f t="array" ref="D21">_xlfn.LET(
_xlpm.x,LOWER(A21),
_xlpm.parts,_xlfn.TEXTSPLIT(_xlpm.x,"-"),
VALUE(_xlfn.TEXTBEFORE(INDEX(_xlfn._xlws.FILTER(_xlpm.parts,ISNUMBER(SEARCH("b",_xlpm.parts))),1),"b"))
)</f>
        <v>14</v>
      </c>
      <c r="E21" s="9" t="s">
        <v>24</v>
      </c>
      <c r="F21" s="17" t="str">
        <f>IF(D21&lt;10,"DP6",IF(D21&lt;=30,"TP2DP2","TP4"))</f>
        <v>TP2DP2</v>
      </c>
      <c r="G21" s="134">
        <v>11</v>
      </c>
      <c r="H21" s="134">
        <v>2.391</v>
      </c>
      <c r="I21" s="134">
        <v>98.79</v>
      </c>
      <c r="J21" s="134">
        <v>106.54</v>
      </c>
      <c r="K21" s="98" t="s">
        <v>44</v>
      </c>
      <c r="L21" s="15">
        <v>16</v>
      </c>
      <c r="M21" s="15">
        <v>0.96799999999999997</v>
      </c>
      <c r="N21" s="15">
        <v>67.900000000000006</v>
      </c>
      <c r="O21" s="15">
        <v>220.11</v>
      </c>
      <c r="P21" s="15"/>
      <c r="Q21" s="24">
        <v>1</v>
      </c>
      <c r="R21" s="24">
        <v>1.7370000000000001</v>
      </c>
      <c r="S21" s="25">
        <v>141</v>
      </c>
      <c r="T21" s="25">
        <v>14.03</v>
      </c>
      <c r="U21" s="42">
        <f t="shared" ref="U21:U30" si="2">J21/T21</f>
        <v>7.5937277263007852</v>
      </c>
      <c r="V21" s="61" t="s">
        <v>44</v>
      </c>
      <c r="W21" s="57">
        <v>15</v>
      </c>
      <c r="X21" s="57">
        <v>4775.6099999999997</v>
      </c>
      <c r="Y21" s="57">
        <v>67.349999999999994</v>
      </c>
      <c r="Z21" s="57">
        <v>208.42</v>
      </c>
      <c r="AA21" s="42">
        <f t="shared" ref="AA21:AA30" si="3">J21/Z21</f>
        <v>0.51117934939065357</v>
      </c>
      <c r="AB21" s="27" t="s">
        <v>55</v>
      </c>
    </row>
    <row r="22" spans="1:29" ht="15.75" customHeight="1">
      <c r="A22" s="85" t="s">
        <v>61</v>
      </c>
      <c r="C22" s="54">
        <v>3</v>
      </c>
      <c r="D22" s="9" cm="1">
        <f t="array" ref="D22">_xlfn.LET(
_xlpm.x,LOWER(A22),
_xlpm.parts,_xlfn.TEXTSPLIT(_xlpm.x,"-"),
VALUE(_xlfn.TEXTBEFORE(INDEX(_xlfn._xlws.FILTER(_xlpm.parts,ISNUMBER(SEARCH("b",_xlpm.parts))),1),"b"))
)</f>
        <v>30</v>
      </c>
      <c r="E22" s="9" t="s">
        <v>24</v>
      </c>
      <c r="F22" s="17" t="str">
        <f>IF(D22&lt;10,"DP6",IF(D22&lt;=30,"TP2DP2","TP4"))</f>
        <v>TP2DP2</v>
      </c>
      <c r="G22" s="134">
        <v>49</v>
      </c>
      <c r="H22" s="134">
        <v>3.97</v>
      </c>
      <c r="I22" s="134">
        <v>96.98</v>
      </c>
      <c r="J22" s="134">
        <v>478.95</v>
      </c>
      <c r="K22" s="98" t="s">
        <v>44</v>
      </c>
      <c r="L22" s="15">
        <v>21</v>
      </c>
      <c r="M22" s="15">
        <v>0.89400000000000002</v>
      </c>
      <c r="N22" s="15">
        <v>100.48</v>
      </c>
      <c r="O22" s="15">
        <v>203.45</v>
      </c>
      <c r="P22" s="15"/>
      <c r="Q22" s="30">
        <v>11</v>
      </c>
      <c r="R22" s="30">
        <v>2.6930000000000001</v>
      </c>
      <c r="S22" s="30">
        <v>90.66</v>
      </c>
      <c r="T22" s="19">
        <v>112.89</v>
      </c>
      <c r="U22" s="42">
        <f t="shared" si="2"/>
        <v>4.2426255647090088</v>
      </c>
      <c r="V22" s="61" t="s">
        <v>44</v>
      </c>
      <c r="W22" s="57">
        <v>19</v>
      </c>
      <c r="X22" s="57">
        <v>2898.24</v>
      </c>
      <c r="Y22" s="57">
        <v>99.37</v>
      </c>
      <c r="Z22" s="57">
        <v>186.06</v>
      </c>
      <c r="AA22" s="42">
        <f t="shared" si="3"/>
        <v>2.5741696227023541</v>
      </c>
      <c r="AB22" s="27" t="s">
        <v>55</v>
      </c>
    </row>
    <row r="23" spans="1:29" ht="15.75" customHeight="1">
      <c r="A23" s="85" t="s">
        <v>63</v>
      </c>
      <c r="B23" t="s">
        <v>64</v>
      </c>
      <c r="C23" s="54">
        <v>3</v>
      </c>
      <c r="D23" s="9" cm="1">
        <f t="array" ref="D23">_xlfn.LET(
_xlpm.x,LOWER(A23),
_xlpm.parts,_xlfn.TEXTSPLIT(_xlpm.x,"-"),
VALUE(_xlfn.TEXTBEFORE(INDEX(_xlfn._xlws.FILTER(_xlpm.parts,ISNUMBER(SEARCH("b",_xlpm.parts))),1),"b"))
)</f>
        <v>30</v>
      </c>
      <c r="E23" s="9" t="s">
        <v>24</v>
      </c>
      <c r="F23" s="17" t="str">
        <f>IF(D23&lt;10,"DP6",IF(D23&lt;=30,"TP2DP2","TP4"))</f>
        <v>TP2DP2</v>
      </c>
      <c r="G23" s="134">
        <v>17</v>
      </c>
      <c r="H23" s="134">
        <v>2.319</v>
      </c>
      <c r="I23" s="134">
        <v>98.46</v>
      </c>
      <c r="J23" s="134">
        <v>167.9</v>
      </c>
      <c r="K23" s="98" t="s">
        <v>44</v>
      </c>
      <c r="L23" s="15">
        <v>23</v>
      </c>
      <c r="M23" s="15">
        <v>1.899</v>
      </c>
      <c r="N23" s="15">
        <v>98.89</v>
      </c>
      <c r="O23" s="15">
        <v>228.5</v>
      </c>
      <c r="P23" s="15" t="s">
        <v>140</v>
      </c>
      <c r="Q23" s="24">
        <v>1</v>
      </c>
      <c r="R23" s="24">
        <v>0.64700000000000002</v>
      </c>
      <c r="S23" s="25">
        <v>4129</v>
      </c>
      <c r="T23" s="25">
        <v>16.62</v>
      </c>
      <c r="U23" s="42">
        <f t="shared" si="2"/>
        <v>10.10228640192539</v>
      </c>
      <c r="V23" s="62" t="s">
        <v>44</v>
      </c>
      <c r="W23" s="62">
        <v>23</v>
      </c>
      <c r="X23" s="62">
        <v>1.899</v>
      </c>
      <c r="Y23" s="62">
        <v>98.89</v>
      </c>
      <c r="Z23" s="62">
        <v>228.5</v>
      </c>
      <c r="AA23" s="42">
        <f t="shared" si="3"/>
        <v>0.73479212253829329</v>
      </c>
      <c r="AB23" s="27" t="s">
        <v>65</v>
      </c>
    </row>
    <row r="24" spans="1:29" ht="15.75" customHeight="1">
      <c r="A24" s="85" t="s">
        <v>67</v>
      </c>
      <c r="B24"/>
      <c r="C24" s="54">
        <v>1</v>
      </c>
      <c r="D24" t="s">
        <v>24</v>
      </c>
      <c r="E24" s="54" t="s">
        <v>24</v>
      </c>
      <c r="F24" s="87" t="s">
        <v>25</v>
      </c>
      <c r="G24" s="131">
        <v>330</v>
      </c>
      <c r="H24" s="131">
        <v>4.9729999999999999</v>
      </c>
      <c r="I24" s="131">
        <v>86.36</v>
      </c>
      <c r="J24" s="131">
        <v>3517.53</v>
      </c>
      <c r="K24" s="26" t="s">
        <v>25</v>
      </c>
      <c r="L24" s="15">
        <v>312</v>
      </c>
      <c r="M24" s="15">
        <v>4.2709999999999999</v>
      </c>
      <c r="N24" s="15">
        <v>99.56</v>
      </c>
      <c r="O24" s="15">
        <v>2775.37</v>
      </c>
      <c r="P24" s="15"/>
      <c r="Q24" s="17">
        <v>16</v>
      </c>
      <c r="R24" s="17">
        <v>1.397</v>
      </c>
      <c r="S24" s="28">
        <v>32.700000000000003</v>
      </c>
      <c r="T24" s="28">
        <v>398.1</v>
      </c>
      <c r="U24" s="42">
        <f t="shared" si="2"/>
        <v>8.8357950263752834</v>
      </c>
      <c r="V24" s="61" t="s">
        <v>25</v>
      </c>
      <c r="W24" s="57">
        <v>337</v>
      </c>
      <c r="X24" s="57">
        <v>2742.64</v>
      </c>
      <c r="Y24" s="57">
        <v>96.42</v>
      </c>
      <c r="Z24" s="57">
        <v>3176.94</v>
      </c>
      <c r="AA24" s="42">
        <f t="shared" si="3"/>
        <v>1.1072069349751648</v>
      </c>
      <c r="AB24" s="27" t="s">
        <v>53</v>
      </c>
    </row>
    <row r="25" spans="1:29" ht="15.75" customHeight="1">
      <c r="A25" s="85" t="s">
        <v>68</v>
      </c>
      <c r="B25"/>
      <c r="C25" s="54">
        <v>1</v>
      </c>
      <c r="D25" t="s">
        <v>24</v>
      </c>
      <c r="E25" s="54" t="s">
        <v>24</v>
      </c>
      <c r="F25" s="87" t="s">
        <v>25</v>
      </c>
      <c r="G25" s="131">
        <v>99</v>
      </c>
      <c r="H25" s="131">
        <v>4.9960000000000004</v>
      </c>
      <c r="I25" s="131">
        <v>74.930000000000007</v>
      </c>
      <c r="J25" s="131">
        <v>1201.3</v>
      </c>
      <c r="K25" s="26" t="s">
        <v>25</v>
      </c>
      <c r="L25" s="15">
        <v>134</v>
      </c>
      <c r="M25" s="15">
        <v>4.8959999999999999</v>
      </c>
      <c r="N25" s="15">
        <v>90.71</v>
      </c>
      <c r="O25" s="15">
        <v>1307.1300000000001</v>
      </c>
      <c r="P25" s="15"/>
      <c r="Q25" s="17">
        <v>16</v>
      </c>
      <c r="R25" s="17">
        <v>3.7509999999999999</v>
      </c>
      <c r="S25" s="28">
        <v>61.5</v>
      </c>
      <c r="T25" s="28">
        <v>245.11</v>
      </c>
      <c r="U25" s="42">
        <f t="shared" si="2"/>
        <v>4.9010648280363913</v>
      </c>
      <c r="V25" s="61" t="s">
        <v>25</v>
      </c>
      <c r="W25" s="57">
        <v>177</v>
      </c>
      <c r="X25" s="57">
        <v>3444.43</v>
      </c>
      <c r="Y25" s="57">
        <v>95.42</v>
      </c>
      <c r="Z25" s="57">
        <v>1690.97</v>
      </c>
      <c r="AA25" s="42">
        <f t="shared" si="3"/>
        <v>0.71042064613801537</v>
      </c>
      <c r="AB25" s="27" t="s">
        <v>53</v>
      </c>
    </row>
    <row r="26" spans="1:29" ht="15.75" customHeight="1">
      <c r="A26" s="85" t="s">
        <v>69</v>
      </c>
      <c r="B26"/>
      <c r="C26" s="54">
        <v>1</v>
      </c>
      <c r="D26" t="s">
        <v>24</v>
      </c>
      <c r="E26" s="54" t="s">
        <v>24</v>
      </c>
      <c r="F26" s="87" t="s">
        <v>25</v>
      </c>
      <c r="G26" s="131">
        <v>35</v>
      </c>
      <c r="H26" s="131">
        <v>4.7939999999999996</v>
      </c>
      <c r="I26" s="131">
        <v>87.41</v>
      </c>
      <c r="J26" s="131">
        <v>375.58</v>
      </c>
      <c r="K26" s="26" t="s">
        <v>25</v>
      </c>
      <c r="L26" s="15">
        <v>67</v>
      </c>
      <c r="M26" s="15">
        <v>4.9930000000000003</v>
      </c>
      <c r="N26" s="15">
        <v>99.9</v>
      </c>
      <c r="O26" s="15">
        <v>609.70000000000005</v>
      </c>
      <c r="P26" s="15"/>
      <c r="Q26" s="34">
        <v>11</v>
      </c>
      <c r="R26" s="34">
        <v>4.4720000000000004</v>
      </c>
      <c r="S26" s="35">
        <v>90.48</v>
      </c>
      <c r="T26" s="28">
        <v>113.94</v>
      </c>
      <c r="U26" s="42">
        <f t="shared" si="2"/>
        <v>3.2962962962962963</v>
      </c>
      <c r="V26" s="61" t="s">
        <v>25</v>
      </c>
      <c r="W26" s="57">
        <v>138</v>
      </c>
      <c r="X26" s="57">
        <v>4278.04</v>
      </c>
      <c r="Y26" s="57">
        <v>98.52</v>
      </c>
      <c r="Z26" s="57">
        <v>1278.75</v>
      </c>
      <c r="AA26" s="42">
        <f t="shared" si="3"/>
        <v>0.29370869990224829</v>
      </c>
      <c r="AB26" s="27" t="s">
        <v>53</v>
      </c>
    </row>
    <row r="27" spans="1:29" ht="15.75" customHeight="1">
      <c r="A27" s="85" t="s">
        <v>71</v>
      </c>
      <c r="B27"/>
      <c r="C27" s="54">
        <v>1</v>
      </c>
      <c r="D27" t="s">
        <v>24</v>
      </c>
      <c r="E27" s="54" t="s">
        <v>24</v>
      </c>
      <c r="F27" s="87" t="s">
        <v>25</v>
      </c>
      <c r="G27" s="131">
        <v>48</v>
      </c>
      <c r="H27" s="131">
        <v>3.448</v>
      </c>
      <c r="I27" s="131">
        <v>99.67</v>
      </c>
      <c r="J27" s="131">
        <v>458.86</v>
      </c>
      <c r="K27" s="26" t="s">
        <v>25</v>
      </c>
      <c r="L27" s="15">
        <v>56</v>
      </c>
      <c r="M27" s="15">
        <v>4.7450000000000001</v>
      </c>
      <c r="N27" s="15">
        <v>81.36</v>
      </c>
      <c r="O27" s="15">
        <v>476.17</v>
      </c>
      <c r="P27" s="15"/>
      <c r="Q27" s="17">
        <v>1</v>
      </c>
      <c r="R27" s="17">
        <v>0.76</v>
      </c>
      <c r="S27" s="28">
        <v>74.55</v>
      </c>
      <c r="T27" s="19">
        <v>13.29</v>
      </c>
      <c r="U27" s="42">
        <f t="shared" si="2"/>
        <v>34.526711813393533</v>
      </c>
      <c r="V27" s="62" t="s">
        <v>25</v>
      </c>
      <c r="W27" s="62">
        <v>56</v>
      </c>
      <c r="X27" s="62">
        <v>4.7450000000000001</v>
      </c>
      <c r="Y27" s="62">
        <v>81.36</v>
      </c>
      <c r="Z27" s="62">
        <v>476.17</v>
      </c>
      <c r="AA27" s="42">
        <f t="shared" si="3"/>
        <v>0.96364743683978416</v>
      </c>
      <c r="AB27" s="27" t="s">
        <v>53</v>
      </c>
    </row>
    <row r="28" spans="1:29" ht="15.75" customHeight="1">
      <c r="A28" s="85" t="s">
        <v>72</v>
      </c>
      <c r="C28" s="54">
        <v>3</v>
      </c>
      <c r="D28" s="9" cm="1">
        <f t="array" ref="D28">_xlfn.LET(
_xlpm.x,LOWER(A28),
_xlpm.parts,_xlfn.TEXTSPLIT(_xlpm.x,"-"),
VALUE(_xlfn.TEXTBEFORE(INDEX(_xlfn._xlws.FILTER(_xlpm.parts,ISNUMBER(SEARCH("b",_xlpm.parts))),1),"b"))
)</f>
        <v>7</v>
      </c>
      <c r="E28" s="9" t="s">
        <v>24</v>
      </c>
      <c r="F28" s="17" t="str">
        <f>IF(D28&lt;10,"DP6",IF(D28&lt;=30,"TP2DP2","TP4"))</f>
        <v>DP6</v>
      </c>
      <c r="G28" s="131">
        <v>33</v>
      </c>
      <c r="H28" s="131">
        <v>4.9560000000000004</v>
      </c>
      <c r="I28" s="131">
        <v>79.900000000000006</v>
      </c>
      <c r="J28" s="131">
        <v>379.43</v>
      </c>
      <c r="K28" s="15" t="s">
        <v>25</v>
      </c>
      <c r="L28" s="15">
        <v>61</v>
      </c>
      <c r="M28" s="15">
        <v>4.8869999999999996</v>
      </c>
      <c r="N28" s="15">
        <v>89.39</v>
      </c>
      <c r="O28" s="15">
        <v>624.17999999999995</v>
      </c>
      <c r="P28" s="15"/>
      <c r="Q28" s="36">
        <v>11</v>
      </c>
      <c r="R28" s="36">
        <v>4.6369999999999996</v>
      </c>
      <c r="S28" s="37">
        <v>92.92</v>
      </c>
      <c r="T28" s="19">
        <v>109.98</v>
      </c>
      <c r="U28" s="42">
        <f t="shared" si="2"/>
        <v>3.4499909074377157</v>
      </c>
      <c r="V28" s="61" t="s">
        <v>25</v>
      </c>
      <c r="W28" s="57">
        <v>67</v>
      </c>
      <c r="X28" s="57">
        <v>4817.9399999999996</v>
      </c>
      <c r="Y28" s="57">
        <v>92.04</v>
      </c>
      <c r="Z28" s="57">
        <v>669.91</v>
      </c>
      <c r="AA28" s="42">
        <f t="shared" si="3"/>
        <v>0.56638951500947887</v>
      </c>
      <c r="AB28" s="27" t="s">
        <v>27</v>
      </c>
    </row>
    <row r="29" spans="1:29" ht="15.75" customHeight="1">
      <c r="A29" s="85" t="s">
        <v>74</v>
      </c>
      <c r="B29"/>
      <c r="C29" s="54">
        <v>1</v>
      </c>
      <c r="D29" t="s">
        <v>24</v>
      </c>
      <c r="E29" s="54" t="s">
        <v>24</v>
      </c>
      <c r="F29" s="87" t="s">
        <v>25</v>
      </c>
      <c r="G29" s="131">
        <v>172</v>
      </c>
      <c r="H29" s="131">
        <v>4.9930000000000003</v>
      </c>
      <c r="I29" s="131">
        <v>64.25</v>
      </c>
      <c r="J29" s="131">
        <v>2429.1799999999998</v>
      </c>
      <c r="K29" s="26" t="s">
        <v>25</v>
      </c>
      <c r="L29" s="15">
        <v>210</v>
      </c>
      <c r="M29" s="15">
        <v>4.9740000000000002</v>
      </c>
      <c r="N29" s="15">
        <v>89.5</v>
      </c>
      <c r="O29" s="15">
        <v>1842.45</v>
      </c>
      <c r="P29" s="15"/>
      <c r="Q29" s="17">
        <v>26</v>
      </c>
      <c r="R29" s="17">
        <v>4.282</v>
      </c>
      <c r="S29" s="28">
        <v>60.52</v>
      </c>
      <c r="T29" s="28">
        <v>392.85</v>
      </c>
      <c r="U29" s="42">
        <f t="shared" si="2"/>
        <v>6.1834796996309018</v>
      </c>
      <c r="V29" s="62" t="s">
        <v>25</v>
      </c>
      <c r="W29" s="62">
        <v>210</v>
      </c>
      <c r="X29" s="62">
        <v>4.9740000000000002</v>
      </c>
      <c r="Y29" s="62">
        <v>89.5</v>
      </c>
      <c r="Z29" s="62">
        <v>1842.45</v>
      </c>
      <c r="AA29" s="42">
        <f t="shared" si="3"/>
        <v>1.3184509756031371</v>
      </c>
      <c r="AB29" s="27" t="s">
        <v>53</v>
      </c>
    </row>
    <row r="30" spans="1:29" ht="15.75" customHeight="1">
      <c r="A30" s="85" t="s">
        <v>75</v>
      </c>
      <c r="B30"/>
      <c r="C30" s="54">
        <v>1</v>
      </c>
      <c r="D30" t="s">
        <v>24</v>
      </c>
      <c r="E30" s="54" t="s">
        <v>24</v>
      </c>
      <c r="F30" s="87" t="s">
        <v>25</v>
      </c>
      <c r="G30" s="131">
        <v>30</v>
      </c>
      <c r="H30" s="131">
        <v>4.7880000000000003</v>
      </c>
      <c r="I30" s="131">
        <v>95.74</v>
      </c>
      <c r="J30" s="131">
        <v>296.98</v>
      </c>
      <c r="K30" s="26" t="s">
        <v>25</v>
      </c>
      <c r="L30" s="15">
        <v>16</v>
      </c>
      <c r="M30" s="15">
        <v>2.004</v>
      </c>
      <c r="N30" s="15">
        <v>99.53</v>
      </c>
      <c r="O30" s="15">
        <v>147.38999999999999</v>
      </c>
      <c r="P30" s="15"/>
      <c r="Q30" s="20">
        <v>1</v>
      </c>
      <c r="R30" s="20">
        <v>1.083</v>
      </c>
      <c r="S30" s="38">
        <v>164.82</v>
      </c>
      <c r="T30" s="25">
        <v>17.98</v>
      </c>
      <c r="U30" s="42">
        <f t="shared" si="2"/>
        <v>16.517241379310345</v>
      </c>
      <c r="V30" s="62" t="s">
        <v>25</v>
      </c>
      <c r="W30" s="62">
        <v>16</v>
      </c>
      <c r="X30" s="62">
        <v>2.004</v>
      </c>
      <c r="Y30" s="62">
        <v>99.53</v>
      </c>
      <c r="Z30" s="62">
        <v>147.38999999999999</v>
      </c>
      <c r="AA30" s="42">
        <f t="shared" si="3"/>
        <v>2.0149263857792254</v>
      </c>
      <c r="AB30" s="27" t="s">
        <v>53</v>
      </c>
    </row>
    <row r="31" spans="1:29" ht="15.75" customHeight="1">
      <c r="A31" s="85" t="s">
        <v>77</v>
      </c>
      <c r="B31" s="54"/>
      <c r="C31" s="54">
        <v>3</v>
      </c>
      <c r="D31" s="54" t="s">
        <v>24</v>
      </c>
      <c r="E31" s="54" t="s">
        <v>24</v>
      </c>
      <c r="F31" s="87" t="s">
        <v>43</v>
      </c>
      <c r="G31" s="131">
        <v>76</v>
      </c>
      <c r="H31" s="131">
        <v>4.3879999999999999</v>
      </c>
      <c r="I31" s="131">
        <v>98.7</v>
      </c>
      <c r="J31" s="131">
        <v>736.81</v>
      </c>
      <c r="AB31" s="27" t="s">
        <v>78</v>
      </c>
      <c r="AC31" s="9" t="s">
        <v>79</v>
      </c>
    </row>
    <row r="32" spans="1:29" ht="15.75" customHeight="1">
      <c r="A32" s="85" t="s">
        <v>80</v>
      </c>
      <c r="B32" s="137" t="s">
        <v>262</v>
      </c>
      <c r="C32" s="54">
        <v>3</v>
      </c>
      <c r="D32" s="9">
        <v>1</v>
      </c>
      <c r="E32" s="9" t="s">
        <v>24</v>
      </c>
      <c r="F32" s="17" t="s">
        <v>25</v>
      </c>
      <c r="G32" s="131">
        <v>9</v>
      </c>
      <c r="H32" s="131">
        <v>1.3740000000000001</v>
      </c>
      <c r="I32" s="131">
        <v>74.23</v>
      </c>
      <c r="J32" s="131">
        <v>39.24</v>
      </c>
      <c r="K32" s="15" t="s">
        <v>25</v>
      </c>
      <c r="L32" s="15"/>
      <c r="M32" s="15"/>
      <c r="N32" s="15"/>
      <c r="O32" s="15"/>
      <c r="P32" s="15" t="s">
        <v>161</v>
      </c>
      <c r="Q32" s="24">
        <v>1</v>
      </c>
      <c r="R32" s="24">
        <v>1.3149999999999999</v>
      </c>
      <c r="S32" s="25">
        <v>114.94</v>
      </c>
      <c r="T32" s="25">
        <v>41.51</v>
      </c>
      <c r="U32" s="47">
        <f t="shared" ref="U32:U37" si="4">J32/T32</f>
        <v>0.94531438207660812</v>
      </c>
      <c r="V32" s="61" t="s">
        <v>25</v>
      </c>
      <c r="W32" s="57" t="s">
        <v>23</v>
      </c>
      <c r="X32" s="57"/>
      <c r="Y32" s="57"/>
      <c r="Z32" s="57"/>
      <c r="AA32" s="42"/>
      <c r="AB32" s="27" t="s">
        <v>82</v>
      </c>
      <c r="AC32" s="132" t="s">
        <v>83</v>
      </c>
    </row>
    <row r="33" spans="1:29" ht="15.95">
      <c r="A33" s="85" t="s">
        <v>84</v>
      </c>
      <c r="C33" s="54">
        <v>3</v>
      </c>
      <c r="D33" s="9" cm="1">
        <f t="array" ref="D33">_xlfn.LET(
_xlpm.x,LOWER(A33),
_xlpm.parts,_xlfn.TEXTSPLIT(_xlpm.x,"-"),
VALUE(_xlfn.TEXTBEFORE(INDEX(_xlfn._xlws.FILTER(_xlpm.parts,ISNUMBER(SEARCH("b",_xlpm.parts))),1),"b"))
)</f>
        <v>8</v>
      </c>
      <c r="E33" s="9" t="s">
        <v>24</v>
      </c>
      <c r="F33" s="17" t="str">
        <f>IF(D33&lt;10,"DP6",IF(D33&lt;=30,"TP2DP2","TP4"))</f>
        <v>DP6</v>
      </c>
      <c r="G33" s="133">
        <v>63</v>
      </c>
      <c r="H33" s="133">
        <v>4.851</v>
      </c>
      <c r="I33" s="133">
        <v>62.15</v>
      </c>
      <c r="J33" s="133">
        <v>864.92</v>
      </c>
      <c r="K33" s="15" t="s">
        <v>25</v>
      </c>
      <c r="L33" s="15">
        <v>150</v>
      </c>
      <c r="M33" s="15">
        <v>4.9550000000000001</v>
      </c>
      <c r="N33" s="15">
        <v>91.15</v>
      </c>
      <c r="O33" s="15">
        <v>1463.69</v>
      </c>
      <c r="P33" s="15"/>
      <c r="Q33" s="17">
        <v>11</v>
      </c>
      <c r="R33" s="17">
        <v>3.3740000000000001</v>
      </c>
      <c r="S33" s="28">
        <v>55.59</v>
      </c>
      <c r="T33" s="28">
        <v>186.54</v>
      </c>
      <c r="U33" s="50">
        <f t="shared" si="4"/>
        <v>4.636646295700654</v>
      </c>
      <c r="V33" s="61" t="s">
        <v>25</v>
      </c>
      <c r="W33" s="57">
        <v>156</v>
      </c>
      <c r="X33" s="57">
        <v>4939.28</v>
      </c>
      <c r="Y33" s="57">
        <v>96.11</v>
      </c>
      <c r="Z33" s="57">
        <v>1437.52</v>
      </c>
      <c r="AA33" s="42">
        <f>J33/Z33</f>
        <v>0.60167510712894423</v>
      </c>
      <c r="AB33" s="27" t="s">
        <v>27</v>
      </c>
    </row>
    <row r="34" spans="1:29" ht="15.95">
      <c r="A34" s="85" t="s">
        <v>86</v>
      </c>
      <c r="C34" s="54">
        <v>3</v>
      </c>
      <c r="D34" s="9" cm="1">
        <f t="array" ref="D34">_xlfn.LET(
_xlpm.x,LOWER(A34),
_xlpm.parts,_xlfn.TEXTSPLIT(_xlpm.x,"-"),
VALUE(_xlfn.TEXTBEFORE(INDEX(_xlfn._xlws.FILTER(_xlpm.parts,ISNUMBER(SEARCH("b",_xlpm.parts))),1),"b"))
)</f>
        <v>1</v>
      </c>
      <c r="E34" s="9" t="s">
        <v>24</v>
      </c>
      <c r="F34" s="17" t="str">
        <f>IF(D34&lt;10,"DP6",IF(D34&lt;=30,"TP2DP2","TP4"))</f>
        <v>DP6</v>
      </c>
      <c r="G34" s="133">
        <v>596</v>
      </c>
      <c r="H34" s="133">
        <v>4.9870000000000001</v>
      </c>
      <c r="I34" s="133">
        <v>55.47</v>
      </c>
      <c r="J34" s="133">
        <v>9759.27</v>
      </c>
      <c r="K34" s="15" t="s">
        <v>25</v>
      </c>
      <c r="L34" s="15">
        <v>816</v>
      </c>
      <c r="M34" s="15">
        <v>4.6619999999999999</v>
      </c>
      <c r="N34" s="15">
        <v>98.94</v>
      </c>
      <c r="O34" s="15">
        <v>7352.74</v>
      </c>
      <c r="P34" s="15"/>
      <c r="Q34" s="17">
        <v>21</v>
      </c>
      <c r="R34" s="17">
        <v>0.876</v>
      </c>
      <c r="S34" s="28">
        <v>16.22</v>
      </c>
      <c r="T34" s="28">
        <v>1081.28</v>
      </c>
      <c r="U34" s="50">
        <f t="shared" si="4"/>
        <v>9.0256640278188822</v>
      </c>
      <c r="V34" s="61" t="s">
        <v>25</v>
      </c>
      <c r="W34" s="57">
        <v>816</v>
      </c>
      <c r="X34" s="57">
        <v>4839.4799999999996</v>
      </c>
      <c r="Y34" s="57">
        <v>94.5</v>
      </c>
      <c r="Z34" s="57">
        <v>7613.21</v>
      </c>
      <c r="AA34" s="42">
        <f>J34/Z34</f>
        <v>1.281886352799936</v>
      </c>
      <c r="AB34" s="27" t="s">
        <v>27</v>
      </c>
    </row>
    <row r="35" spans="1:29" ht="15.95">
      <c r="A35" s="85" t="s">
        <v>87</v>
      </c>
      <c r="C35" s="54">
        <v>3</v>
      </c>
      <c r="D35" s="9" cm="1">
        <f t="array" ref="D35">_xlfn.LET(
_xlpm.x,LOWER(A35),
_xlpm.parts,_xlfn.TEXTSPLIT(_xlpm.x,"-"),
VALUE(_xlfn.TEXTBEFORE(INDEX(_xlfn._xlws.FILTER(_xlpm.parts,ISNUMBER(SEARCH("b",_xlpm.parts))),1),"b"))
)</f>
        <v>3</v>
      </c>
      <c r="E35" s="9" t="s">
        <v>24</v>
      </c>
      <c r="F35" s="17" t="str">
        <f>IF(D35&lt;10,"DP6",IF(D35&lt;=30,"TP2DP2","TP4"))</f>
        <v>DP6</v>
      </c>
      <c r="G35" s="133">
        <v>114</v>
      </c>
      <c r="H35" s="133">
        <v>3.298</v>
      </c>
      <c r="I35" s="133">
        <v>98.53</v>
      </c>
      <c r="J35" s="133">
        <v>1110.3399999999999</v>
      </c>
      <c r="K35" s="15" t="s">
        <v>25</v>
      </c>
      <c r="L35" s="15">
        <v>280</v>
      </c>
      <c r="M35" s="15">
        <v>3.9860000000000002</v>
      </c>
      <c r="N35" s="15">
        <v>99.8</v>
      </c>
      <c r="O35" s="15">
        <v>2409.3000000000002</v>
      </c>
      <c r="P35" s="15"/>
      <c r="Q35" s="17">
        <v>16</v>
      </c>
      <c r="R35" s="17">
        <v>1.8320000000000001</v>
      </c>
      <c r="S35" s="28">
        <v>71.36</v>
      </c>
      <c r="T35" s="28">
        <v>201.6</v>
      </c>
      <c r="U35" s="50">
        <f t="shared" si="4"/>
        <v>5.5076388888888888</v>
      </c>
      <c r="V35" s="61" t="s">
        <v>25</v>
      </c>
      <c r="W35" s="57">
        <v>280</v>
      </c>
      <c r="X35" s="57">
        <v>2541.41</v>
      </c>
      <c r="Y35" s="57">
        <v>3949.54</v>
      </c>
      <c r="Z35" s="57">
        <v>97.79</v>
      </c>
      <c r="AA35" s="42">
        <f>J35/Z35</f>
        <v>11.354330708661415</v>
      </c>
      <c r="AB35" s="27" t="s">
        <v>27</v>
      </c>
    </row>
    <row r="36" spans="1:29" ht="15.95">
      <c r="A36" s="85" t="s">
        <v>88</v>
      </c>
      <c r="B36" s="85"/>
      <c r="C36" s="54">
        <v>3</v>
      </c>
      <c r="D36" s="54" cm="1">
        <f t="array" ref="D36">_xlfn.LET(
_xlpm.x,LOWER(A36),
_xlpm.parts,_xlfn.TEXTSPLIT(_xlpm.x,"-"),
VALUE(_xlfn.TEXTBEFORE(INDEX(_xlfn._xlws.FILTER(_xlpm.parts,ISNUMBER(SEARCH("b",_xlpm.parts))),1),"b"))
)</f>
        <v>70</v>
      </c>
      <c r="E36" s="54" t="s">
        <v>24</v>
      </c>
      <c r="F36" s="17" t="s">
        <v>43</v>
      </c>
      <c r="G36" s="134">
        <v>1</v>
      </c>
      <c r="H36" s="134">
        <v>2.899</v>
      </c>
      <c r="I36" s="134">
        <v>174.44</v>
      </c>
      <c r="J36" s="134">
        <v>5.65</v>
      </c>
      <c r="K36" s="23" t="s">
        <v>44</v>
      </c>
      <c r="L36" s="23">
        <v>1</v>
      </c>
      <c r="M36" s="23">
        <v>1.4850000000000001</v>
      </c>
      <c r="N36" s="23">
        <v>117.76</v>
      </c>
      <c r="O36" s="39">
        <v>8.4</v>
      </c>
      <c r="P36" s="15"/>
      <c r="Q36" s="121">
        <v>1</v>
      </c>
      <c r="R36" s="121">
        <v>4.7729999999999997</v>
      </c>
      <c r="S36" s="122">
        <v>351.26</v>
      </c>
      <c r="T36" s="122">
        <v>5.64</v>
      </c>
      <c r="U36" s="47">
        <f t="shared" si="4"/>
        <v>1.0017730496453903</v>
      </c>
      <c r="V36" s="61" t="s">
        <v>44</v>
      </c>
      <c r="W36" s="57">
        <v>1</v>
      </c>
      <c r="X36" s="57">
        <v>3457.87</v>
      </c>
      <c r="Y36" s="57">
        <v>3457.87</v>
      </c>
      <c r="Z36" s="57">
        <v>3457.87</v>
      </c>
      <c r="AA36" s="42">
        <f>J36/Z36</f>
        <v>1.6339538502025816E-3</v>
      </c>
      <c r="AB36" s="27" t="s">
        <v>78</v>
      </c>
    </row>
    <row r="37" spans="1:29" ht="15.95">
      <c r="A37" s="85" t="s">
        <v>89</v>
      </c>
      <c r="B37" s="85"/>
      <c r="C37" s="54">
        <v>3</v>
      </c>
      <c r="D37" s="54" cm="1">
        <f t="array" ref="D37">_xlfn.LET(
_xlpm.x,LOWER(A37),
_xlpm.parts,_xlfn.TEXTSPLIT(_xlpm.x,"-"),
VALUE(_xlfn.TEXTBEFORE(INDEX(_xlfn._xlws.FILTER(_xlpm.parts,ISNUMBER(SEARCH("b",_xlpm.parts))),1),"b"))
)</f>
        <v>32</v>
      </c>
      <c r="E37" s="54" t="s">
        <v>24</v>
      </c>
      <c r="F37" s="17" t="s">
        <v>43</v>
      </c>
      <c r="G37" s="133">
        <v>2</v>
      </c>
      <c r="H37" s="133">
        <v>1.042</v>
      </c>
      <c r="I37" s="133">
        <v>91.51</v>
      </c>
      <c r="J37" s="133">
        <v>21.55</v>
      </c>
      <c r="K37" s="15" t="s">
        <v>44</v>
      </c>
      <c r="L37" s="15">
        <v>13</v>
      </c>
      <c r="M37" s="15">
        <v>4.8600000000000003</v>
      </c>
      <c r="N37" s="15">
        <v>82.32</v>
      </c>
      <c r="O37" s="15">
        <v>149.44</v>
      </c>
      <c r="P37" s="15"/>
      <c r="Q37" s="24">
        <v>1</v>
      </c>
      <c r="R37" s="24">
        <v>2.4990000000000001</v>
      </c>
      <c r="S37" s="25">
        <v>182451.31</v>
      </c>
      <c r="T37" s="25">
        <v>5.55</v>
      </c>
      <c r="U37" s="47">
        <f t="shared" si="4"/>
        <v>3.8828828828828832</v>
      </c>
      <c r="V37" s="61" t="s">
        <v>44</v>
      </c>
      <c r="W37" s="57">
        <v>12</v>
      </c>
      <c r="X37" s="57">
        <v>4938.93</v>
      </c>
      <c r="Y37" s="57">
        <v>79.680000000000007</v>
      </c>
      <c r="Z37" s="57">
        <v>142.12</v>
      </c>
      <c r="AA37" s="42">
        <f>J37/Z37</f>
        <v>0.15163242330424992</v>
      </c>
      <c r="AB37" s="27" t="s">
        <v>78</v>
      </c>
    </row>
    <row r="38" spans="1:29" ht="15.75" customHeight="1">
      <c r="A38" s="85" t="s">
        <v>90</v>
      </c>
      <c r="B38"/>
      <c r="C38" s="54">
        <v>3</v>
      </c>
      <c r="D38" t="s">
        <v>85</v>
      </c>
      <c r="E38" s="54" t="s">
        <v>24</v>
      </c>
      <c r="F38" s="87" t="s">
        <v>25</v>
      </c>
      <c r="G38" s="133">
        <v>63</v>
      </c>
      <c r="H38" s="133">
        <v>4.8819999999999997</v>
      </c>
      <c r="I38" s="133">
        <v>62.48</v>
      </c>
      <c r="J38" s="133">
        <v>856.41</v>
      </c>
      <c r="AB38" s="27" t="s">
        <v>27</v>
      </c>
      <c r="AC38" s="9" t="s">
        <v>79</v>
      </c>
    </row>
    <row r="39" spans="1:29" ht="15.95">
      <c r="A39" s="85" t="s">
        <v>91</v>
      </c>
      <c r="C39" s="54">
        <v>3</v>
      </c>
      <c r="D39" s="9" cm="1">
        <f t="array" ref="D39">_xlfn.LET(
_xlpm.x,LOWER(A39),
_xlpm.parts,_xlfn.TEXTSPLIT(_xlpm.x,"-"),
VALUE(_xlfn.TEXTBEFORE(INDEX(_xlfn._xlws.FILTER(_xlpm.parts,ISNUMBER(SEARCH("b",_xlpm.parts))),1),"b"))
)</f>
        <v>8</v>
      </c>
      <c r="E39" s="9" t="s">
        <v>24</v>
      </c>
      <c r="F39" s="17" t="str">
        <f>IF(D39&lt;10,"DP6",IF(D39&lt;=30,"TP2DP2","TP4"))</f>
        <v>DP6</v>
      </c>
      <c r="G39" s="133">
        <v>50</v>
      </c>
      <c r="H39" s="133">
        <v>4.9950000000000001</v>
      </c>
      <c r="I39" s="133">
        <v>91.29</v>
      </c>
      <c r="J39" s="133">
        <v>504.12</v>
      </c>
      <c r="K39" s="15" t="s">
        <v>25</v>
      </c>
      <c r="L39" s="15">
        <v>68</v>
      </c>
      <c r="M39" s="15">
        <v>4.9989999999999997</v>
      </c>
      <c r="N39" s="15">
        <v>62.52</v>
      </c>
      <c r="O39" s="15">
        <v>932.95</v>
      </c>
      <c r="P39" s="15" t="s">
        <v>140</v>
      </c>
      <c r="Q39" s="18">
        <v>6</v>
      </c>
      <c r="R39" s="18">
        <v>3.1</v>
      </c>
      <c r="S39" s="19">
        <v>87.26</v>
      </c>
      <c r="T39" s="19">
        <v>66.44</v>
      </c>
      <c r="U39" s="47">
        <f t="shared" ref="U39:U44" si="5">J39/T39</f>
        <v>7.5875978326309452</v>
      </c>
      <c r="V39" s="62" t="s">
        <v>25</v>
      </c>
      <c r="W39" s="62">
        <v>68</v>
      </c>
      <c r="X39" s="62">
        <v>4.9989999999999997</v>
      </c>
      <c r="Y39" s="62">
        <v>62.52</v>
      </c>
      <c r="Z39" s="62">
        <v>932.95</v>
      </c>
      <c r="AA39" s="42">
        <f t="shared" ref="AA39:AA44" si="6">J39/Z39</f>
        <v>0.54035050109866545</v>
      </c>
      <c r="AB39" s="27" t="s">
        <v>27</v>
      </c>
    </row>
    <row r="40" spans="1:29" ht="15.95">
      <c r="A40" s="85" t="s">
        <v>93</v>
      </c>
      <c r="C40" s="54">
        <v>3</v>
      </c>
      <c r="D40" s="9" cm="1">
        <f t="array" ref="D40">_xlfn.LET(
_xlpm.x,LOWER(A40),
_xlpm.parts,_xlfn.TEXTSPLIT(_xlpm.x,"-"),
VALUE(_xlfn.TEXTBEFORE(INDEX(_xlfn._xlws.FILTER(_xlpm.parts,ISNUMBER(SEARCH("b",_xlpm.parts))),1),"b"))
)</f>
        <v>1</v>
      </c>
      <c r="E40" s="9" t="s">
        <v>24</v>
      </c>
      <c r="F40" s="17" t="str">
        <f>IF(D40&lt;10,"DP6",IF(D40&lt;=30,"TP2DP2","TP4"))</f>
        <v>DP6</v>
      </c>
      <c r="G40" s="133">
        <v>341</v>
      </c>
      <c r="H40" s="133">
        <v>4.992</v>
      </c>
      <c r="I40" s="133">
        <v>41.8</v>
      </c>
      <c r="J40" s="133">
        <v>7266.38</v>
      </c>
      <c r="K40" s="15" t="s">
        <v>25</v>
      </c>
      <c r="L40" s="15">
        <v>546</v>
      </c>
      <c r="M40" s="15">
        <v>4.9379999999999997</v>
      </c>
      <c r="N40" s="15">
        <v>72.599999999999994</v>
      </c>
      <c r="O40" s="15">
        <v>6233.22</v>
      </c>
      <c r="P40" s="15" t="s">
        <v>140</v>
      </c>
      <c r="Q40" s="18">
        <v>76</v>
      </c>
      <c r="R40" s="18">
        <v>1.331</v>
      </c>
      <c r="S40" s="19">
        <v>26.36</v>
      </c>
      <c r="T40" s="19">
        <v>2698.42</v>
      </c>
      <c r="U40" s="47">
        <f t="shared" si="5"/>
        <v>2.6928276547016403</v>
      </c>
      <c r="V40" s="62" t="s">
        <v>25</v>
      </c>
      <c r="W40" s="62">
        <v>546</v>
      </c>
      <c r="X40" s="62">
        <v>4.9379999999999997</v>
      </c>
      <c r="Y40" s="62">
        <v>72.599999999999994</v>
      </c>
      <c r="Z40" s="62">
        <v>6233.22</v>
      </c>
      <c r="AA40" s="42">
        <f t="shared" si="6"/>
        <v>1.1657506072302919</v>
      </c>
      <c r="AB40" s="27" t="s">
        <v>27</v>
      </c>
    </row>
    <row r="41" spans="1:29" ht="15.95">
      <c r="A41" s="85" t="s">
        <v>94</v>
      </c>
      <c r="C41" s="54">
        <v>3</v>
      </c>
      <c r="D41" s="9" cm="1">
        <f t="array" ref="D41">_xlfn.LET(
_xlpm.x,LOWER(A41),
_xlpm.parts,_xlfn.TEXTSPLIT(_xlpm.x,"-"),
VALUE(_xlfn.TEXTBEFORE(INDEX(_xlfn._xlws.FILTER(_xlpm.parts,ISNUMBER(SEARCH("b",_xlpm.parts))),1),"b"))
)</f>
        <v>3</v>
      </c>
      <c r="E41" s="9" t="s">
        <v>24</v>
      </c>
      <c r="F41" s="17" t="str">
        <f>IF(D41&lt;10,"DP6",IF(D41&lt;=30,"TP2DP2","TP4"))</f>
        <v>DP6</v>
      </c>
      <c r="G41" s="133">
        <v>90</v>
      </c>
      <c r="H41" s="133">
        <v>4.66</v>
      </c>
      <c r="I41" s="133">
        <v>99.4</v>
      </c>
      <c r="J41" s="133">
        <v>856.49</v>
      </c>
      <c r="K41" s="15" t="s">
        <v>25</v>
      </c>
      <c r="L41" s="15">
        <v>186</v>
      </c>
      <c r="M41" s="15">
        <v>4.93</v>
      </c>
      <c r="N41" s="15">
        <v>77.48</v>
      </c>
      <c r="O41" s="15">
        <v>2074.77</v>
      </c>
      <c r="P41" s="15" t="s">
        <v>140</v>
      </c>
      <c r="Q41" s="24">
        <v>1</v>
      </c>
      <c r="R41" s="24">
        <v>0.373</v>
      </c>
      <c r="S41" s="25">
        <v>121.37</v>
      </c>
      <c r="T41" s="25">
        <v>34.14</v>
      </c>
      <c r="U41" s="47">
        <f t="shared" si="5"/>
        <v>25.087580550673696</v>
      </c>
      <c r="V41" s="62" t="s">
        <v>25</v>
      </c>
      <c r="W41" s="62">
        <v>186</v>
      </c>
      <c r="X41" s="62">
        <v>4.93</v>
      </c>
      <c r="Y41" s="62">
        <v>77.48</v>
      </c>
      <c r="Z41" s="62">
        <v>2074.77</v>
      </c>
      <c r="AA41" s="42">
        <f t="shared" si="6"/>
        <v>0.41281202253743787</v>
      </c>
      <c r="AB41" s="27" t="s">
        <v>27</v>
      </c>
    </row>
    <row r="42" spans="1:29" ht="15.95">
      <c r="A42" s="85" t="s">
        <v>95</v>
      </c>
      <c r="B42" s="85"/>
      <c r="C42" s="54">
        <v>3</v>
      </c>
      <c r="D42" s="54" cm="1">
        <f t="array" ref="D42">_xlfn.LET(
_xlpm.x,LOWER(A42),
_xlpm.parts,_xlfn.TEXTSPLIT(_xlpm.x,"-"),
VALUE(_xlfn.TEXTBEFORE(INDEX(_xlfn._xlws.FILTER(_xlpm.parts,ISNUMBER(SEARCH("b",_xlpm.parts))),1),"b"))
)</f>
        <v>32</v>
      </c>
      <c r="E42" s="54" t="s">
        <v>24</v>
      </c>
      <c r="F42" s="17" t="s">
        <v>43</v>
      </c>
      <c r="G42" s="134">
        <v>1</v>
      </c>
      <c r="H42" s="134">
        <v>1.5449999999999999</v>
      </c>
      <c r="I42" s="134">
        <v>138.53</v>
      </c>
      <c r="J42" s="134">
        <v>7.15</v>
      </c>
      <c r="K42" s="15" t="s">
        <v>44</v>
      </c>
      <c r="L42" s="15">
        <v>6</v>
      </c>
      <c r="M42" s="15">
        <v>4.8559999999999999</v>
      </c>
      <c r="N42" s="15">
        <v>66.569999999999993</v>
      </c>
      <c r="O42" s="15">
        <v>84.2</v>
      </c>
      <c r="P42" s="15" t="s">
        <v>140</v>
      </c>
      <c r="Q42" s="24"/>
      <c r="R42" s="24" t="s">
        <v>203</v>
      </c>
      <c r="S42" s="25"/>
      <c r="T42" s="25"/>
      <c r="U42" s="47" t="e">
        <f t="shared" si="5"/>
        <v>#DIV/0!</v>
      </c>
      <c r="V42" s="62" t="s">
        <v>44</v>
      </c>
      <c r="W42" s="62">
        <v>6</v>
      </c>
      <c r="X42" s="62">
        <v>4.8559999999999999</v>
      </c>
      <c r="Y42" s="62">
        <v>66.569999999999993</v>
      </c>
      <c r="Z42" s="62">
        <v>84.2</v>
      </c>
      <c r="AA42" s="42">
        <f t="shared" si="6"/>
        <v>8.4916864608076015E-2</v>
      </c>
      <c r="AB42" s="27" t="s">
        <v>78</v>
      </c>
    </row>
    <row r="43" spans="1:29" ht="15.95">
      <c r="A43" s="85" t="s">
        <v>96</v>
      </c>
      <c r="C43" s="54">
        <v>3</v>
      </c>
      <c r="D43" s="9" cm="1">
        <f t="array" ref="D43">_xlfn.LET(
_xlpm.x,LOWER(A43),
_xlpm.parts,_xlfn.TEXTSPLIT(_xlpm.x,"-"),
VALUE(_xlfn.TEXTBEFORE(INDEX(_xlfn._xlws.FILTER(_xlpm.parts,ISNUMBER(SEARCH("b",_xlpm.parts))),1),"b"))
)</f>
        <v>14</v>
      </c>
      <c r="E43" s="9" t="s">
        <v>24</v>
      </c>
      <c r="F43" s="128" t="str">
        <f>IF(D43&lt;10,"DP6",IF(D43&lt;=30,"TP2DP2","TP4"))</f>
        <v>TP2DP2</v>
      </c>
      <c r="G43" s="133">
        <v>14</v>
      </c>
      <c r="H43" s="133">
        <v>4.1070000000000002</v>
      </c>
      <c r="I43" s="133">
        <v>98.97</v>
      </c>
      <c r="J43" s="133">
        <v>135.41</v>
      </c>
      <c r="K43" s="15" t="s">
        <v>25</v>
      </c>
      <c r="L43" s="15">
        <v>32</v>
      </c>
      <c r="M43" s="15">
        <v>4.915</v>
      </c>
      <c r="N43" s="15">
        <v>77.760000000000005</v>
      </c>
      <c r="O43" s="15">
        <v>371.6</v>
      </c>
      <c r="P43" s="15" t="s">
        <v>140</v>
      </c>
      <c r="Q43" s="24">
        <v>1</v>
      </c>
      <c r="R43" s="24">
        <v>1.5269999999999999</v>
      </c>
      <c r="S43" s="25">
        <v>130.69</v>
      </c>
      <c r="T43" s="25">
        <v>15.15</v>
      </c>
      <c r="U43" s="47">
        <f t="shared" si="5"/>
        <v>8.9379537953795367</v>
      </c>
      <c r="V43" s="62" t="s">
        <v>25</v>
      </c>
      <c r="W43" s="62">
        <v>32</v>
      </c>
      <c r="X43" s="62">
        <v>4.915</v>
      </c>
      <c r="Y43" s="62">
        <v>77.760000000000005</v>
      </c>
      <c r="Z43" s="62">
        <v>371.6</v>
      </c>
      <c r="AA43" s="42">
        <f t="shared" si="6"/>
        <v>0.36439720129171149</v>
      </c>
      <c r="AB43" s="27" t="s">
        <v>78</v>
      </c>
    </row>
    <row r="44" spans="1:29" ht="15.95">
      <c r="A44" s="85" t="s">
        <v>97</v>
      </c>
      <c r="C44" s="54">
        <v>3</v>
      </c>
      <c r="D44" s="9">
        <v>7</v>
      </c>
      <c r="E44" s="9" t="s">
        <v>24</v>
      </c>
      <c r="F44" s="17" t="str">
        <f>IF(D44&lt;10,"DP6",IF(D44&lt;=30,"TP2DP2","TP4"))</f>
        <v>DP6</v>
      </c>
      <c r="G44" s="133">
        <v>49</v>
      </c>
      <c r="H44" s="133">
        <v>4.7939999999999996</v>
      </c>
      <c r="I44" s="133">
        <v>85.94</v>
      </c>
      <c r="J44" s="133">
        <v>533.79999999999995</v>
      </c>
      <c r="K44" s="15" t="s">
        <v>25</v>
      </c>
      <c r="L44" s="15">
        <v>66</v>
      </c>
      <c r="M44" s="15">
        <v>4.9400000000000004</v>
      </c>
      <c r="N44" s="15">
        <v>58.03</v>
      </c>
      <c r="O44" s="15">
        <v>977.72</v>
      </c>
      <c r="P44" s="15" t="s">
        <v>140</v>
      </c>
      <c r="Q44" s="18">
        <v>11</v>
      </c>
      <c r="R44" s="18">
        <v>3.972</v>
      </c>
      <c r="S44" s="19">
        <v>91.27</v>
      </c>
      <c r="T44" s="19">
        <v>112.27</v>
      </c>
      <c r="U44" s="47">
        <f t="shared" si="5"/>
        <v>4.7546094237106971</v>
      </c>
      <c r="V44" s="62" t="s">
        <v>25</v>
      </c>
      <c r="W44" s="62">
        <v>66</v>
      </c>
      <c r="X44" s="62">
        <v>4.9400000000000004</v>
      </c>
      <c r="Y44" s="62">
        <v>58.03</v>
      </c>
      <c r="Z44" s="62">
        <v>977.72</v>
      </c>
      <c r="AA44" s="42">
        <f t="shared" si="6"/>
        <v>0.54596407969561833</v>
      </c>
      <c r="AB44" s="27" t="s">
        <v>27</v>
      </c>
    </row>
    <row r="45" spans="1:29" ht="15.75" customHeight="1">
      <c r="A45" s="85" t="s">
        <v>98</v>
      </c>
      <c r="B45"/>
      <c r="C45" s="54">
        <v>3</v>
      </c>
      <c r="D45" t="s">
        <v>92</v>
      </c>
      <c r="E45" s="54" t="s">
        <v>24</v>
      </c>
      <c r="F45" s="87" t="s">
        <v>25</v>
      </c>
      <c r="G45" s="133">
        <v>572</v>
      </c>
      <c r="H45" s="133">
        <v>4.048</v>
      </c>
      <c r="I45" s="133">
        <v>96.06</v>
      </c>
      <c r="J45" s="133">
        <v>5676.37</v>
      </c>
      <c r="AB45" s="27" t="s">
        <v>27</v>
      </c>
      <c r="AC45" s="9" t="s">
        <v>79</v>
      </c>
    </row>
    <row r="46" spans="1:29" ht="15.75" customHeight="1">
      <c r="A46" s="85" t="s">
        <v>99</v>
      </c>
      <c r="B46"/>
      <c r="C46" s="54">
        <v>3</v>
      </c>
      <c r="D46" t="s">
        <v>92</v>
      </c>
      <c r="E46" s="54" t="s">
        <v>24</v>
      </c>
      <c r="F46" s="87" t="s">
        <v>25</v>
      </c>
      <c r="G46" s="133">
        <v>304</v>
      </c>
      <c r="H46" s="133">
        <v>4.9710000000000001</v>
      </c>
      <c r="I46" s="133">
        <v>35.9</v>
      </c>
      <c r="J46" s="133">
        <v>7358.13</v>
      </c>
      <c r="AB46" s="27" t="s">
        <v>27</v>
      </c>
      <c r="AC46" s="9" t="s">
        <v>79</v>
      </c>
    </row>
    <row r="47" spans="1:29" ht="15.75" customHeight="1">
      <c r="A47" s="85" t="s">
        <v>100</v>
      </c>
      <c r="B47"/>
      <c r="C47" s="54">
        <v>3</v>
      </c>
      <c r="D47" t="s">
        <v>92</v>
      </c>
      <c r="E47" s="54" t="s">
        <v>24</v>
      </c>
      <c r="F47" s="87" t="s">
        <v>25</v>
      </c>
      <c r="G47" s="133">
        <v>306</v>
      </c>
      <c r="H47" s="133">
        <v>4.9950000000000001</v>
      </c>
      <c r="I47" s="133">
        <v>37.5</v>
      </c>
      <c r="J47" s="133">
        <v>7163.06</v>
      </c>
      <c r="AB47" s="27" t="s">
        <v>27</v>
      </c>
      <c r="AC47" s="9" t="s">
        <v>79</v>
      </c>
    </row>
    <row r="48" spans="1:29" ht="15.75" customHeight="1">
      <c r="A48" s="85"/>
      <c r="B48" s="85"/>
      <c r="C48" s="85"/>
      <c r="D48" s="85"/>
      <c r="E48" s="85"/>
      <c r="G48" s="134"/>
      <c r="H48" s="134"/>
      <c r="I48" s="134"/>
      <c r="J48" s="134"/>
    </row>
    <row r="49" spans="1:27" ht="15.75" customHeight="1">
      <c r="C49"/>
      <c r="AA49" s="42" cm="1">
        <f t="array" ref="AA49">GEOMEAN(AA6:AA8,IF(AA13:AA32 &gt;0, AA13:AA32))</f>
        <v>0.77167857723313937</v>
      </c>
    </row>
    <row r="50" spans="1:27" ht="15.75" customHeight="1">
      <c r="C50"/>
      <c r="AA50" s="42" cm="1">
        <f t="array" ref="AA50">GEOMEAN(IF(AA33:AA38 &gt;0, AA33:AA38))</f>
        <v>0.29327901824908287</v>
      </c>
    </row>
    <row r="51" spans="1:27" ht="15.75" customHeight="1">
      <c r="C51"/>
      <c r="AA51" s="42" cm="1">
        <f t="array" ref="AA51">GEOMEAN(IF(AA39:AA41 &gt;0, AA39:AA41),AA44)</f>
        <v>0.61383182889190557</v>
      </c>
    </row>
    <row r="52" spans="1:27" ht="15.75" customHeight="1">
      <c r="C52"/>
    </row>
    <row r="55" spans="1:27" ht="15.75" customHeight="1">
      <c r="A55" s="123" t="s">
        <v>258</v>
      </c>
    </row>
  </sheetData>
  <mergeCells count="7">
    <mergeCell ref="V3:Y3"/>
    <mergeCell ref="G1:J2"/>
    <mergeCell ref="K1:P2"/>
    <mergeCell ref="A3:A4"/>
    <mergeCell ref="F3:J3"/>
    <mergeCell ref="K3:N3"/>
    <mergeCell ref="Q3:T3"/>
  </mergeCells>
  <hyperlinks>
    <hyperlink ref="P4" r:id="rId1" display="https://jira.devtools.intel.com/browse/SGLANGT-496" xr:uid="{A4B9C8B5-BA43-4B84-8672-422BC32F5016}"/>
    <hyperlink ref="AB12" r:id="rId2" xr:uid="{6A7998B7-9411-4CCF-AA17-63DA98A72277}"/>
    <hyperlink ref="AB13" r:id="rId3" xr:uid="{749EB09B-7463-4698-A1E0-2056133BE814}"/>
    <hyperlink ref="AB9" r:id="rId4" xr:uid="{8781AAD5-B6F7-48AB-8E71-2499868ACA9C}"/>
    <hyperlink ref="AB37" r:id="rId5" xr:uid="{99D72F19-DB24-4744-A492-84794FA8F457}"/>
    <hyperlink ref="AB43" r:id="rId6" xr:uid="{A3F762D1-34DF-44C1-8C64-6B9E7206D1B6}"/>
    <hyperlink ref="AB19" r:id="rId7" xr:uid="{CC8574F2-2790-44B1-80A8-F79D49DD82A7}"/>
    <hyperlink ref="AB21" r:id="rId8" xr:uid="{187DA7AB-1B63-4548-9579-21CFFE387E6B}"/>
    <hyperlink ref="AB22" r:id="rId9" xr:uid="{79134729-7084-40D2-83E6-FEC3E1700996}"/>
    <hyperlink ref="AB31" r:id="rId10" xr:uid="{3708E6A2-94FF-4279-9877-76B5FF9C2957}"/>
    <hyperlink ref="AB45" r:id="rId11" xr:uid="{3EBE5699-C5B6-483C-B75D-00449BA8E3A7}"/>
    <hyperlink ref="AB46" r:id="rId12" xr:uid="{8A17C00D-AAE4-4421-BCA0-2C6A80215B50}"/>
    <hyperlink ref="AB47" r:id="rId13" xr:uid="{4E9F6D7D-BD50-4741-BE06-0FABBC0B6DE6}"/>
    <hyperlink ref="AB38" r:id="rId14" xr:uid="{4F49CAB0-6797-4563-B056-C06A7D3BE40D}"/>
    <hyperlink ref="AB23" r:id="rId15" xr:uid="{CB0054A6-C33E-4A44-861E-A60311802BAC}"/>
    <hyperlink ref="AB17" r:id="rId16" xr:uid="{BA332B02-C7FC-4106-A2E2-FF012384395A}"/>
    <hyperlink ref="AB10" r:id="rId17" xr:uid="{080EACF6-E630-4265-83D2-A842078ACFCF}"/>
    <hyperlink ref="AB11" r:id="rId18" xr:uid="{F2FDB907-E3FD-4635-B1FA-BBE425266034}"/>
    <hyperlink ref="AB14" r:id="rId19" xr:uid="{1612C238-6A4C-4765-BCCD-26ACDA2CADD1}"/>
    <hyperlink ref="AB6" r:id="rId20" xr:uid="{82016A2A-D946-47AB-8D10-D4F7694A75C1}"/>
    <hyperlink ref="AB7" r:id="rId21" xr:uid="{7958F05F-2D9B-49A9-8D92-09DCE74C978C}"/>
    <hyperlink ref="AB8" r:id="rId22" xr:uid="{1F6724AE-D1D5-438C-AC13-3A45ADAF5883}"/>
    <hyperlink ref="AB15" r:id="rId23" xr:uid="{3BFE68D3-F1E9-49BD-9677-E647F3A35C45}"/>
    <hyperlink ref="AB20" r:id="rId24" xr:uid="{8B3D492E-D1DF-4E1C-93D7-C5C00E444FF5}"/>
    <hyperlink ref="AB28" r:id="rId25" xr:uid="{AF5415DB-636C-4FF0-BD10-D944798D2DE1}"/>
    <hyperlink ref="AB33" r:id="rId26" xr:uid="{16E615EB-C118-42E2-B8D0-6200720EBD29}"/>
    <hyperlink ref="AB34" r:id="rId27" xr:uid="{4EEC1DFC-1078-4BAB-A6CD-4389DB4F632F}"/>
    <hyperlink ref="AB35" r:id="rId28" xr:uid="{C8E1B60F-E7D3-486D-96BF-C78EA0A221C2}"/>
    <hyperlink ref="AB39" r:id="rId29" xr:uid="{069A2C4C-087A-4E2A-A50D-D9BC651A40BB}"/>
    <hyperlink ref="AB40" r:id="rId30" xr:uid="{06B9F6A7-48BE-47F8-9956-BBB3683FA904}"/>
    <hyperlink ref="AB41" r:id="rId31" xr:uid="{7E496D7C-405B-46DB-BA9E-0D8B9BAB082D}"/>
    <hyperlink ref="AB44" r:id="rId32" xr:uid="{7252B30B-4A0C-48E7-9F8E-E4544AE81478}"/>
    <hyperlink ref="AB16" r:id="rId33" xr:uid="{7639DB2C-931C-4B5D-9F3D-8B0307955F7B}"/>
    <hyperlink ref="AB18" r:id="rId34" xr:uid="{91C6771A-DEEF-449C-A724-E99721F07EB7}"/>
    <hyperlink ref="AB24" r:id="rId35" xr:uid="{B94DB29F-26B7-4F7F-B08E-1CECEB20EEAE}"/>
    <hyperlink ref="AB25" r:id="rId36" xr:uid="{E0C22B4F-75F3-4BC2-91BC-EE2226EE28F3}"/>
    <hyperlink ref="AB26" r:id="rId37" xr:uid="{ADA72167-E887-46E6-8EE7-0E9861BD857D}"/>
    <hyperlink ref="AB27" r:id="rId38" xr:uid="{35CC2E97-EFB5-43D1-9E71-439B66ACE52D}"/>
    <hyperlink ref="AB29" r:id="rId39" xr:uid="{FBA16D79-1537-4C87-A9AF-978F067F27F1}"/>
    <hyperlink ref="AB30" r:id="rId40" xr:uid="{78E796C5-2580-4F36-9291-9569B7330F8B}"/>
    <hyperlink ref="AB36" r:id="rId41" xr:uid="{1FDFB204-6E40-4DE0-8548-024282C6C32A}"/>
    <hyperlink ref="AB42" r:id="rId42" xr:uid="{0827AE2D-0C17-4CF6-A057-BDDEEFB193C4}"/>
    <hyperlink ref="AB32" r:id="rId43" xr:uid="{16941709-0AD4-48E2-A1C1-7D7507F6849B}"/>
  </hyperlinks>
  <pageMargins left="0.7" right="0.7" top="0.75" bottom="0.75" header="0.3" footer="0.3"/>
  <legacyDrawing r:id="rId4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847E-D260-4A54-848A-261915965C34}">
  <dimension ref="A1:W50"/>
  <sheetViews>
    <sheetView tabSelected="1" topLeftCell="A16" workbookViewId="0">
      <selection activeCell="E18" sqref="E18"/>
    </sheetView>
  </sheetViews>
  <sheetFormatPr defaultRowHeight="15.95"/>
  <cols>
    <col min="1" max="1" width="46.125" bestFit="1" customWidth="1"/>
  </cols>
  <sheetData>
    <row r="1" spans="1:23" ht="15.75" customHeight="1">
      <c r="A1" s="242" t="s">
        <v>103</v>
      </c>
      <c r="B1" s="243" t="s">
        <v>104</v>
      </c>
      <c r="C1" s="243" t="s">
        <v>263</v>
      </c>
      <c r="D1" s="243" t="s">
        <v>264</v>
      </c>
      <c r="E1" s="244" t="s">
        <v>265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</row>
    <row r="2" spans="1:23" ht="15.75" customHeight="1">
      <c r="A2" s="242"/>
      <c r="B2" s="242"/>
      <c r="C2" s="242"/>
      <c r="D2" s="242"/>
      <c r="E2" s="244" t="s">
        <v>266</v>
      </c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</row>
    <row r="3" spans="1:23" ht="15.75" customHeight="1">
      <c r="A3" s="242"/>
      <c r="B3" s="242"/>
      <c r="C3" s="242"/>
      <c r="D3" s="242"/>
      <c r="E3" s="245" t="s">
        <v>267</v>
      </c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</row>
    <row r="4" spans="1:23" ht="15.75" customHeight="1">
      <c r="A4" s="242"/>
      <c r="B4" s="242"/>
      <c r="C4" s="242"/>
      <c r="D4" s="242"/>
    </row>
    <row r="5" spans="1:23" ht="15.75" customHeight="1"/>
    <row r="6" spans="1:23" ht="15.75" customHeight="1">
      <c r="A6" s="246" t="s">
        <v>6</v>
      </c>
      <c r="B6" s="246" t="s">
        <v>113</v>
      </c>
      <c r="C6" s="246" t="s">
        <v>9</v>
      </c>
      <c r="D6" s="247" t="s">
        <v>268</v>
      </c>
      <c r="E6" s="247"/>
      <c r="F6" s="247"/>
      <c r="G6" s="247"/>
      <c r="H6" s="247"/>
      <c r="I6" s="248" t="s">
        <v>269</v>
      </c>
      <c r="J6" s="248"/>
      <c r="K6" s="248"/>
      <c r="L6" s="248"/>
      <c r="M6" s="248"/>
      <c r="N6" s="240" t="s">
        <v>270</v>
      </c>
      <c r="O6" s="240"/>
      <c r="P6" s="240"/>
      <c r="Q6" s="240"/>
      <c r="R6" s="241" t="s">
        <v>271</v>
      </c>
      <c r="S6" s="241"/>
    </row>
    <row r="7" spans="1:23" ht="43.5">
      <c r="A7" s="246"/>
      <c r="B7" s="246"/>
      <c r="C7" s="246"/>
      <c r="D7" s="220" t="s">
        <v>10</v>
      </c>
      <c r="E7" s="220" t="s">
        <v>11</v>
      </c>
      <c r="F7" s="220" t="s">
        <v>12</v>
      </c>
      <c r="G7" s="220" t="s">
        <v>13</v>
      </c>
      <c r="H7" s="220" t="s">
        <v>272</v>
      </c>
      <c r="I7" s="221" t="s">
        <v>10</v>
      </c>
      <c r="J7" s="221" t="s">
        <v>11</v>
      </c>
      <c r="K7" s="221" t="s">
        <v>273</v>
      </c>
      <c r="L7" s="221" t="s">
        <v>13</v>
      </c>
      <c r="M7" s="221" t="s">
        <v>272</v>
      </c>
      <c r="N7" s="222" t="s">
        <v>11</v>
      </c>
      <c r="O7" s="222" t="s">
        <v>12</v>
      </c>
      <c r="P7" s="222" t="s">
        <v>13</v>
      </c>
      <c r="Q7" s="222" t="s">
        <v>272</v>
      </c>
      <c r="R7" s="223" t="s">
        <v>274</v>
      </c>
      <c r="S7" s="223" t="s">
        <v>275</v>
      </c>
      <c r="U7" s="236"/>
      <c r="V7" s="236"/>
      <c r="W7" s="236"/>
    </row>
    <row r="8" spans="1:23">
      <c r="A8" s="224" t="s">
        <v>22</v>
      </c>
      <c r="B8" s="225">
        <v>8</v>
      </c>
      <c r="C8" s="225" t="s">
        <v>24</v>
      </c>
      <c r="D8" s="226" t="s">
        <v>25</v>
      </c>
      <c r="E8" s="226">
        <v>35</v>
      </c>
      <c r="F8" s="227">
        <v>4.63802</v>
      </c>
      <c r="G8" s="228">
        <v>86.68</v>
      </c>
      <c r="H8" s="228">
        <v>377.48</v>
      </c>
      <c r="I8" s="229" t="s">
        <v>25</v>
      </c>
      <c r="J8" s="229">
        <v>63</v>
      </c>
      <c r="K8" s="230">
        <v>4885.2299999999996</v>
      </c>
      <c r="L8" s="231">
        <v>95.4</v>
      </c>
      <c r="M8" s="231">
        <v>645.95000000000005</v>
      </c>
      <c r="N8" s="232" t="s">
        <v>276</v>
      </c>
      <c r="O8" s="233">
        <v>4.6853699999999998</v>
      </c>
      <c r="P8" s="234">
        <v>99.31</v>
      </c>
      <c r="Q8" s="234">
        <v>141.93</v>
      </c>
      <c r="R8" s="235">
        <f t="shared" ref="R8:R48" si="0">IFERROR(IF(AND(ISNUMBER(Q8),ISNUMBER(H8),H8&lt;&gt;0),Q8/H8,""),"")</f>
        <v>0.37599343011550279</v>
      </c>
      <c r="S8" s="235">
        <f t="shared" ref="S8:S48" si="1">IFERROR(IF(AND(ISNUMBER(Q8),ISNUMBER(M8),M8&lt;&gt;0),Q8/M8,""),"")</f>
        <v>0.21972288876848053</v>
      </c>
      <c r="T8" s="82" t="s">
        <v>277</v>
      </c>
      <c r="U8" s="82"/>
    </row>
    <row r="9" spans="1:23" ht="15.75" customHeight="1">
      <c r="A9" s="224" t="s">
        <v>29</v>
      </c>
      <c r="B9" s="225">
        <v>1</v>
      </c>
      <c r="C9" s="225" t="s">
        <v>24</v>
      </c>
      <c r="D9" s="226" t="s">
        <v>25</v>
      </c>
      <c r="E9" s="226">
        <v>360</v>
      </c>
      <c r="F9" s="227">
        <v>3.5884999999999998</v>
      </c>
      <c r="G9" s="228">
        <v>42.82</v>
      </c>
      <c r="H9" s="228">
        <v>7525.75</v>
      </c>
      <c r="I9" s="229" t="s">
        <v>25</v>
      </c>
      <c r="J9" s="229">
        <v>555</v>
      </c>
      <c r="K9" s="230">
        <v>4859.08</v>
      </c>
      <c r="L9" s="231">
        <v>82.11</v>
      </c>
      <c r="M9" s="231">
        <v>6048.39</v>
      </c>
      <c r="N9" s="232" t="s">
        <v>278</v>
      </c>
      <c r="O9" s="233">
        <v>4.9223600000000003</v>
      </c>
      <c r="P9" s="234">
        <v>58.3</v>
      </c>
      <c r="Q9" s="234">
        <v>2696.24</v>
      </c>
      <c r="R9" s="235">
        <f t="shared" si="0"/>
        <v>0.35826861110188352</v>
      </c>
      <c r="S9" s="235">
        <f t="shared" si="1"/>
        <v>0.44577813269316291</v>
      </c>
      <c r="T9" s="82" t="s">
        <v>277</v>
      </c>
      <c r="U9" s="82"/>
    </row>
    <row r="10" spans="1:23">
      <c r="A10" s="224" t="s">
        <v>30</v>
      </c>
      <c r="B10" s="225">
        <v>3</v>
      </c>
      <c r="C10" s="225" t="s">
        <v>24</v>
      </c>
      <c r="D10" s="226" t="s">
        <v>25</v>
      </c>
      <c r="E10" s="226">
        <v>93</v>
      </c>
      <c r="F10" s="227">
        <v>3.5220600000000002</v>
      </c>
      <c r="G10" s="228">
        <v>99.86</v>
      </c>
      <c r="H10" s="228">
        <v>880.39</v>
      </c>
      <c r="I10" s="229" t="s">
        <v>25</v>
      </c>
      <c r="J10" s="229">
        <v>200</v>
      </c>
      <c r="K10" s="230">
        <v>4937.9799999999996</v>
      </c>
      <c r="L10" s="231">
        <v>94.13</v>
      </c>
      <c r="M10" s="231">
        <v>1917.47</v>
      </c>
      <c r="N10" s="232" t="s">
        <v>279</v>
      </c>
      <c r="O10" s="233">
        <v>2.5919400000000001</v>
      </c>
      <c r="P10" s="234">
        <v>96</v>
      </c>
      <c r="Q10" s="234">
        <v>233.31</v>
      </c>
      <c r="R10" s="235">
        <f t="shared" si="0"/>
        <v>0.26500755347062099</v>
      </c>
      <c r="S10" s="235">
        <f t="shared" si="1"/>
        <v>0.12167595842438213</v>
      </c>
      <c r="T10" s="82" t="s">
        <v>277</v>
      </c>
      <c r="U10" s="82"/>
    </row>
    <row r="11" spans="1:23">
      <c r="A11" s="224" t="s">
        <v>31</v>
      </c>
      <c r="B11" s="225">
        <v>70</v>
      </c>
      <c r="C11" s="225" t="s">
        <v>24</v>
      </c>
      <c r="D11" s="226" t="s">
        <v>32</v>
      </c>
      <c r="E11" s="226">
        <v>1</v>
      </c>
      <c r="F11" s="227">
        <v>1.7898700000000001</v>
      </c>
      <c r="G11" s="228">
        <v>168.67</v>
      </c>
      <c r="H11" s="228">
        <v>5.87</v>
      </c>
      <c r="I11" s="229" t="s">
        <v>34</v>
      </c>
      <c r="J11" s="229">
        <v>1</v>
      </c>
      <c r="K11" s="230">
        <v>1693.11</v>
      </c>
      <c r="L11" s="231">
        <v>123.14</v>
      </c>
      <c r="M11" s="231">
        <v>8.02</v>
      </c>
      <c r="N11" s="232" t="s">
        <v>280</v>
      </c>
      <c r="O11" s="233">
        <v>1.7527600000000001</v>
      </c>
      <c r="P11" s="234">
        <v>167.21</v>
      </c>
      <c r="Q11" s="234">
        <v>5.93</v>
      </c>
      <c r="R11" s="235">
        <f t="shared" si="0"/>
        <v>1.010221465076661</v>
      </c>
      <c r="S11" s="235">
        <f t="shared" si="1"/>
        <v>0.73940149625935159</v>
      </c>
      <c r="T11" s="82" t="s">
        <v>277</v>
      </c>
      <c r="U11" s="82"/>
    </row>
    <row r="12" spans="1:23">
      <c r="A12" s="224" t="s">
        <v>36</v>
      </c>
      <c r="B12" s="225">
        <v>17</v>
      </c>
      <c r="C12" s="225" t="s">
        <v>24</v>
      </c>
      <c r="D12" s="226" t="s">
        <v>32</v>
      </c>
      <c r="E12" s="226">
        <v>3</v>
      </c>
      <c r="F12" s="227">
        <v>1.5809599999999999</v>
      </c>
      <c r="G12" s="228">
        <v>99.74</v>
      </c>
      <c r="H12" s="228">
        <v>29.64</v>
      </c>
      <c r="I12" s="229" t="s">
        <v>34</v>
      </c>
      <c r="J12" s="229">
        <v>2</v>
      </c>
      <c r="K12" s="230">
        <v>1.2949999999999999</v>
      </c>
      <c r="L12" s="231">
        <v>97.04</v>
      </c>
      <c r="M12" s="231">
        <v>20.36</v>
      </c>
      <c r="N12" s="232" t="s">
        <v>281</v>
      </c>
      <c r="O12" s="233">
        <v>1.5426899999999999</v>
      </c>
      <c r="P12" s="234">
        <v>99.86</v>
      </c>
      <c r="Q12" s="234">
        <v>29.62</v>
      </c>
      <c r="R12" s="235">
        <f t="shared" si="0"/>
        <v>0.99932523616734148</v>
      </c>
      <c r="S12" s="235">
        <f t="shared" si="1"/>
        <v>1.4548133595284873</v>
      </c>
      <c r="T12" s="82" t="s">
        <v>277</v>
      </c>
      <c r="U12" s="82"/>
    </row>
    <row r="13" spans="1:23" ht="333.6">
      <c r="A13" s="224" t="s">
        <v>40</v>
      </c>
      <c r="B13" s="225" t="s">
        <v>24</v>
      </c>
      <c r="C13" s="225" t="s">
        <v>24</v>
      </c>
      <c r="D13" s="226" t="s">
        <v>32</v>
      </c>
      <c r="E13" s="226">
        <v>4</v>
      </c>
      <c r="F13" s="227">
        <v>2.6118899999999998</v>
      </c>
      <c r="G13" s="228">
        <v>94.1</v>
      </c>
      <c r="H13" s="228">
        <v>41.42</v>
      </c>
      <c r="I13" s="229" t="s">
        <v>34</v>
      </c>
      <c r="J13" s="229">
        <v>8</v>
      </c>
      <c r="K13" s="230">
        <v>3.7770000000000001</v>
      </c>
      <c r="L13" s="231">
        <v>98.87</v>
      </c>
      <c r="M13" s="231">
        <v>78.069999999999993</v>
      </c>
      <c r="N13" s="232" t="s">
        <v>282</v>
      </c>
      <c r="O13" s="233" t="s">
        <v>283</v>
      </c>
      <c r="P13" s="234"/>
      <c r="Q13" s="234"/>
      <c r="R13" s="235" t="str">
        <f t="shared" si="0"/>
        <v/>
      </c>
      <c r="S13" s="235" t="str">
        <f t="shared" si="1"/>
        <v/>
      </c>
      <c r="T13" s="82" t="s">
        <v>284</v>
      </c>
    </row>
    <row r="14" spans="1:23">
      <c r="A14" s="224" t="s">
        <v>42</v>
      </c>
      <c r="B14" s="225" t="s">
        <v>24</v>
      </c>
      <c r="C14" s="225" t="s">
        <v>24</v>
      </c>
      <c r="D14" s="226" t="s">
        <v>43</v>
      </c>
      <c r="E14" s="226">
        <v>1</v>
      </c>
      <c r="F14" s="227">
        <v>1.4312</v>
      </c>
      <c r="G14" s="228">
        <v>152.80000000000001</v>
      </c>
      <c r="H14" s="228">
        <v>6.49</v>
      </c>
      <c r="I14" s="229" t="s">
        <v>44</v>
      </c>
      <c r="J14" s="229">
        <v>1</v>
      </c>
      <c r="K14" s="230">
        <v>1171.8699999999999</v>
      </c>
      <c r="L14" s="231">
        <v>102.5</v>
      </c>
      <c r="M14" s="231">
        <v>9.66</v>
      </c>
      <c r="N14" s="232" t="s">
        <v>280</v>
      </c>
      <c r="O14" s="233">
        <v>1.45841</v>
      </c>
      <c r="P14" s="234">
        <v>153.63999999999999</v>
      </c>
      <c r="Q14" s="234">
        <v>6.46</v>
      </c>
      <c r="R14" s="235">
        <f t="shared" si="0"/>
        <v>0.99537750385208013</v>
      </c>
      <c r="S14" s="235">
        <f t="shared" si="1"/>
        <v>0.66873706004140787</v>
      </c>
      <c r="T14" s="82" t="s">
        <v>277</v>
      </c>
    </row>
    <row r="15" spans="1:23" ht="144.94999999999999">
      <c r="A15" s="224" t="s">
        <v>46</v>
      </c>
      <c r="B15" s="225" t="s">
        <v>24</v>
      </c>
      <c r="C15" s="225" t="s">
        <v>24</v>
      </c>
      <c r="D15" s="226" t="s">
        <v>32</v>
      </c>
      <c r="E15" s="226">
        <v>1</v>
      </c>
      <c r="F15" s="227">
        <v>1.19302</v>
      </c>
      <c r="G15" s="228">
        <v>85.46</v>
      </c>
      <c r="H15" s="228">
        <v>11.56</v>
      </c>
      <c r="I15" s="229" t="s">
        <v>34</v>
      </c>
      <c r="J15" s="229">
        <v>2</v>
      </c>
      <c r="K15" s="230">
        <v>1752.57</v>
      </c>
      <c r="L15" s="231">
        <v>83.59</v>
      </c>
      <c r="M15" s="231">
        <v>23.46</v>
      </c>
      <c r="N15" s="232" t="s">
        <v>282</v>
      </c>
      <c r="O15" s="233" t="s">
        <v>285</v>
      </c>
      <c r="P15" s="234"/>
      <c r="Q15" s="234"/>
      <c r="R15" s="235" t="str">
        <f t="shared" si="0"/>
        <v/>
      </c>
      <c r="S15" s="235" t="str">
        <f t="shared" si="1"/>
        <v/>
      </c>
      <c r="T15" s="82" t="s">
        <v>286</v>
      </c>
    </row>
    <row r="16" spans="1:23" ht="217.5">
      <c r="A16" s="224" t="s">
        <v>51</v>
      </c>
      <c r="B16" s="225">
        <v>3</v>
      </c>
      <c r="C16" s="225" t="s">
        <v>24</v>
      </c>
      <c r="D16" s="226" t="s">
        <v>25</v>
      </c>
      <c r="E16" s="226">
        <v>548</v>
      </c>
      <c r="F16" s="227">
        <v>2.32213</v>
      </c>
      <c r="G16" s="228">
        <v>66.61</v>
      </c>
      <c r="H16" s="228">
        <v>6667.22</v>
      </c>
      <c r="I16" s="229" t="s">
        <v>25</v>
      </c>
      <c r="J16" s="229">
        <v>640</v>
      </c>
      <c r="K16" s="230">
        <v>3.4249999999999998</v>
      </c>
      <c r="L16" s="231">
        <v>99.81</v>
      </c>
      <c r="M16" s="231">
        <v>5575.87</v>
      </c>
      <c r="N16" s="232" t="s">
        <v>282</v>
      </c>
      <c r="O16" s="233" t="s">
        <v>287</v>
      </c>
      <c r="P16" s="234"/>
      <c r="Q16" s="234"/>
      <c r="R16" s="235" t="str">
        <f t="shared" si="0"/>
        <v/>
      </c>
      <c r="S16" s="235" t="str">
        <f t="shared" si="1"/>
        <v/>
      </c>
      <c r="T16" s="82" t="s">
        <v>288</v>
      </c>
    </row>
    <row r="17" spans="1:20">
      <c r="A17" s="224" t="s">
        <v>52</v>
      </c>
      <c r="B17" s="225" t="s">
        <v>24</v>
      </c>
      <c r="C17" s="225" t="s">
        <v>24</v>
      </c>
      <c r="D17" s="226" t="s">
        <v>25</v>
      </c>
      <c r="E17" s="226">
        <v>145</v>
      </c>
      <c r="F17" s="227">
        <v>4.9913699999999999</v>
      </c>
      <c r="G17" s="228">
        <v>72.86</v>
      </c>
      <c r="H17" s="228">
        <v>1779.28</v>
      </c>
      <c r="I17" s="229" t="s">
        <v>25</v>
      </c>
      <c r="J17" s="229">
        <v>152</v>
      </c>
      <c r="K17" s="230">
        <v>4.9870000000000001</v>
      </c>
      <c r="L17" s="231">
        <v>84.07</v>
      </c>
      <c r="M17" s="231">
        <v>1600.89</v>
      </c>
      <c r="N17" s="232" t="s">
        <v>289</v>
      </c>
      <c r="O17" s="233">
        <v>4.9303699999999999</v>
      </c>
      <c r="P17" s="234">
        <v>80.55</v>
      </c>
      <c r="Q17" s="234">
        <v>456.71</v>
      </c>
      <c r="R17" s="235">
        <f t="shared" si="0"/>
        <v>0.25668247830583157</v>
      </c>
      <c r="S17" s="235">
        <f t="shared" si="1"/>
        <v>0.28528506018527189</v>
      </c>
      <c r="T17" s="82" t="s">
        <v>277</v>
      </c>
    </row>
    <row r="18" spans="1:20">
      <c r="A18" s="224" t="s">
        <v>54</v>
      </c>
      <c r="B18" s="225">
        <v>12</v>
      </c>
      <c r="C18" s="225" t="s">
        <v>24</v>
      </c>
      <c r="D18" s="226" t="s">
        <v>43</v>
      </c>
      <c r="E18" s="226">
        <v>25</v>
      </c>
      <c r="F18" s="227">
        <v>4.8825399999999997</v>
      </c>
      <c r="G18" s="228">
        <v>89.22</v>
      </c>
      <c r="H18" s="228">
        <v>261.55</v>
      </c>
      <c r="I18" s="229" t="s">
        <v>44</v>
      </c>
      <c r="J18" s="229">
        <v>22</v>
      </c>
      <c r="K18" s="230">
        <v>1.806</v>
      </c>
      <c r="L18" s="231">
        <v>99.77</v>
      </c>
      <c r="M18" s="231">
        <v>210.46</v>
      </c>
      <c r="N18" s="232" t="s">
        <v>290</v>
      </c>
      <c r="O18" s="233">
        <v>10.96012</v>
      </c>
      <c r="P18" s="234">
        <v>161.04</v>
      </c>
      <c r="Q18" s="234">
        <v>108.03</v>
      </c>
      <c r="R18" s="235">
        <f t="shared" si="0"/>
        <v>0.41303766010323073</v>
      </c>
      <c r="S18" s="235">
        <f t="shared" si="1"/>
        <v>0.51330419082010836</v>
      </c>
      <c r="T18" s="82" t="s">
        <v>277</v>
      </c>
    </row>
    <row r="19" spans="1:20">
      <c r="A19" s="224" t="s">
        <v>57</v>
      </c>
      <c r="B19" s="225" t="s">
        <v>24</v>
      </c>
      <c r="C19" s="225" t="s">
        <v>24</v>
      </c>
      <c r="D19" s="226" t="s">
        <v>25</v>
      </c>
      <c r="E19" s="226">
        <v>21</v>
      </c>
      <c r="F19" s="227">
        <v>2.0171000000000001</v>
      </c>
      <c r="G19" s="228">
        <v>99.88</v>
      </c>
      <c r="H19" s="228">
        <v>198.46</v>
      </c>
      <c r="I19" s="229" t="s">
        <v>25</v>
      </c>
      <c r="J19" s="229">
        <v>73</v>
      </c>
      <c r="K19" s="230">
        <v>2721.22</v>
      </c>
      <c r="L19" s="231">
        <v>98.65</v>
      </c>
      <c r="M19" s="231">
        <v>686.11</v>
      </c>
      <c r="N19" s="232" t="s">
        <v>291</v>
      </c>
      <c r="O19" s="233">
        <v>3.3405200000000002</v>
      </c>
      <c r="P19" s="234">
        <v>117.63</v>
      </c>
      <c r="Q19" s="234">
        <v>102.9</v>
      </c>
      <c r="R19" s="235">
        <f t="shared" si="0"/>
        <v>0.51849239141388692</v>
      </c>
      <c r="S19" s="235">
        <f t="shared" si="1"/>
        <v>0.14997595137805891</v>
      </c>
      <c r="T19" s="82" t="s">
        <v>277</v>
      </c>
    </row>
    <row r="20" spans="1:20">
      <c r="A20" s="224" t="s">
        <v>58</v>
      </c>
      <c r="B20" s="225">
        <v>14</v>
      </c>
      <c r="C20" s="225" t="s">
        <v>24</v>
      </c>
      <c r="D20" s="226" t="s">
        <v>43</v>
      </c>
      <c r="E20" s="226">
        <v>19</v>
      </c>
      <c r="F20" s="227">
        <v>4.8002099999999999</v>
      </c>
      <c r="G20" s="228">
        <v>86.68</v>
      </c>
      <c r="H20" s="228">
        <v>208.03</v>
      </c>
      <c r="I20" s="229" t="s">
        <v>44</v>
      </c>
      <c r="J20" s="229">
        <v>15</v>
      </c>
      <c r="K20" s="230">
        <v>4890.55</v>
      </c>
      <c r="L20" s="231">
        <v>71.680000000000007</v>
      </c>
      <c r="M20" s="231">
        <v>196.35</v>
      </c>
      <c r="N20" s="232" t="s">
        <v>292</v>
      </c>
      <c r="O20" s="233">
        <v>9.7357399999999998</v>
      </c>
      <c r="P20" s="234">
        <v>153.97</v>
      </c>
      <c r="Q20" s="234">
        <v>87.33</v>
      </c>
      <c r="R20" s="235">
        <f t="shared" si="0"/>
        <v>0.41979522184300339</v>
      </c>
      <c r="S20" s="235">
        <f t="shared" si="1"/>
        <v>0.44476699770817418</v>
      </c>
      <c r="T20" s="82" t="s">
        <v>277</v>
      </c>
    </row>
    <row r="21" spans="1:20">
      <c r="A21" s="224" t="s">
        <v>59</v>
      </c>
      <c r="B21" s="225">
        <v>5</v>
      </c>
      <c r="C21" s="225" t="s">
        <v>24</v>
      </c>
      <c r="D21" s="226" t="s">
        <v>25</v>
      </c>
      <c r="E21" s="237">
        <v>63</v>
      </c>
      <c r="F21" s="237">
        <v>2.8370000000000002</v>
      </c>
      <c r="G21" s="237">
        <v>99.03</v>
      </c>
      <c r="H21" s="237">
        <v>607.67999999999995</v>
      </c>
      <c r="I21" s="229" t="s">
        <v>25</v>
      </c>
      <c r="J21" s="229">
        <v>89</v>
      </c>
      <c r="K21" s="230">
        <v>4.9489999999999998</v>
      </c>
      <c r="L21" s="231">
        <v>85.14</v>
      </c>
      <c r="M21" s="231">
        <v>546.47</v>
      </c>
      <c r="N21" s="232">
        <v>37</v>
      </c>
      <c r="O21" s="233">
        <v>2.3010000000000002</v>
      </c>
      <c r="P21" s="234">
        <v>99.46</v>
      </c>
      <c r="Q21" s="234">
        <v>180.27</v>
      </c>
      <c r="R21" s="235">
        <f t="shared" si="0"/>
        <v>0.29665284360189575</v>
      </c>
      <c r="S21" s="235">
        <f t="shared" si="1"/>
        <v>0.32988087177704173</v>
      </c>
      <c r="T21" s="82" t="s">
        <v>293</v>
      </c>
    </row>
    <row r="22" spans="1:20">
      <c r="A22" s="224" t="s">
        <v>60</v>
      </c>
      <c r="B22" s="225">
        <v>14</v>
      </c>
      <c r="C22" s="225" t="s">
        <v>24</v>
      </c>
      <c r="D22" s="226" t="s">
        <v>43</v>
      </c>
      <c r="E22" s="226">
        <v>11</v>
      </c>
      <c r="F22" s="227">
        <v>2.5949</v>
      </c>
      <c r="G22" s="228">
        <v>97.88</v>
      </c>
      <c r="H22" s="228">
        <v>106.38</v>
      </c>
      <c r="I22" s="229" t="s">
        <v>44</v>
      </c>
      <c r="J22" s="229">
        <v>15</v>
      </c>
      <c r="K22" s="230">
        <v>4775.6099999999997</v>
      </c>
      <c r="L22" s="231">
        <v>67.349999999999994</v>
      </c>
      <c r="M22" s="231">
        <v>208.42</v>
      </c>
      <c r="N22" s="232" t="s">
        <v>294</v>
      </c>
      <c r="O22" s="233">
        <v>5.7014699999999996</v>
      </c>
      <c r="P22" s="234">
        <v>176.59</v>
      </c>
      <c r="Q22" s="234">
        <v>45.19</v>
      </c>
      <c r="R22" s="235">
        <f t="shared" si="0"/>
        <v>0.42479789434104154</v>
      </c>
      <c r="S22" s="235">
        <f t="shared" si="1"/>
        <v>0.2168218021303138</v>
      </c>
      <c r="T22" s="82" t="s">
        <v>277</v>
      </c>
    </row>
    <row r="23" spans="1:20">
      <c r="A23" s="224" t="s">
        <v>61</v>
      </c>
      <c r="B23" s="225">
        <v>30</v>
      </c>
      <c r="C23" s="225" t="s">
        <v>24</v>
      </c>
      <c r="D23" s="226" t="s">
        <v>43</v>
      </c>
      <c r="E23" s="226">
        <v>50</v>
      </c>
      <c r="F23" s="227">
        <v>4.0044199999999996</v>
      </c>
      <c r="G23" s="228">
        <v>98.58</v>
      </c>
      <c r="H23" s="228">
        <v>478.07</v>
      </c>
      <c r="I23" s="229" t="s">
        <v>44</v>
      </c>
      <c r="J23" s="229">
        <v>19</v>
      </c>
      <c r="K23" s="230">
        <v>2898.24</v>
      </c>
      <c r="L23" s="231">
        <v>99.37</v>
      </c>
      <c r="M23" s="231">
        <v>186.06</v>
      </c>
      <c r="N23" s="232" t="s">
        <v>295</v>
      </c>
      <c r="O23" s="233">
        <v>7.9121600000000001</v>
      </c>
      <c r="P23" s="234">
        <v>180.41</v>
      </c>
      <c r="Q23" s="234">
        <v>184.43</v>
      </c>
      <c r="R23" s="235">
        <f t="shared" si="0"/>
        <v>0.38578032505700005</v>
      </c>
      <c r="S23" s="235">
        <f t="shared" si="1"/>
        <v>0.99123938514457699</v>
      </c>
      <c r="T23" s="82" t="s">
        <v>277</v>
      </c>
    </row>
    <row r="24" spans="1:20">
      <c r="A24" s="224" t="s">
        <v>63</v>
      </c>
      <c r="B24" s="225">
        <v>30</v>
      </c>
      <c r="C24" s="225" t="s">
        <v>24</v>
      </c>
      <c r="D24" s="226" t="s">
        <v>43</v>
      </c>
      <c r="E24" s="226">
        <v>18</v>
      </c>
      <c r="F24" s="227">
        <v>2.4279000000000002</v>
      </c>
      <c r="G24" s="228">
        <v>99.6</v>
      </c>
      <c r="H24" s="228">
        <v>170.07</v>
      </c>
      <c r="I24" s="229" t="s">
        <v>44</v>
      </c>
      <c r="J24" s="229">
        <v>23</v>
      </c>
      <c r="K24" s="230">
        <v>1.899</v>
      </c>
      <c r="L24" s="231">
        <v>98.89</v>
      </c>
      <c r="M24" s="231">
        <v>228.5</v>
      </c>
      <c r="N24" s="232" t="s">
        <v>296</v>
      </c>
      <c r="O24" s="233">
        <v>4.1756399999999996</v>
      </c>
      <c r="P24" s="234">
        <v>213.88</v>
      </c>
      <c r="Q24" s="234">
        <v>54.34</v>
      </c>
      <c r="R24" s="235">
        <f t="shared" si="0"/>
        <v>0.31951549362027404</v>
      </c>
      <c r="S24" s="235">
        <f t="shared" si="1"/>
        <v>0.2378118161925602</v>
      </c>
      <c r="T24" s="82" t="s">
        <v>277</v>
      </c>
    </row>
    <row r="25" spans="1:20">
      <c r="A25" s="224" t="s">
        <v>67</v>
      </c>
      <c r="B25" s="225" t="s">
        <v>24</v>
      </c>
      <c r="C25" s="225" t="s">
        <v>24</v>
      </c>
      <c r="D25" s="226" t="s">
        <v>25</v>
      </c>
      <c r="E25" s="226">
        <v>330</v>
      </c>
      <c r="F25" s="227">
        <v>4.9569599999999996</v>
      </c>
      <c r="G25" s="228">
        <v>85.89</v>
      </c>
      <c r="H25" s="228">
        <v>3530.17</v>
      </c>
      <c r="I25" s="229" t="s">
        <v>25</v>
      </c>
      <c r="J25" s="229">
        <v>337</v>
      </c>
      <c r="K25" s="230">
        <v>2742.64</v>
      </c>
      <c r="L25" s="231">
        <v>96.42</v>
      </c>
      <c r="M25" s="231">
        <v>3176.94</v>
      </c>
      <c r="N25" s="232" t="s">
        <v>297</v>
      </c>
      <c r="O25" s="233">
        <v>4.9497499999999999</v>
      </c>
      <c r="P25" s="234">
        <v>85.64</v>
      </c>
      <c r="Q25" s="234">
        <v>1153.1300000000001</v>
      </c>
      <c r="R25" s="235">
        <f t="shared" si="0"/>
        <v>0.32664999136018946</v>
      </c>
      <c r="S25" s="235">
        <f t="shared" si="1"/>
        <v>0.36296876868936778</v>
      </c>
      <c r="T25" s="82" t="s">
        <v>277</v>
      </c>
    </row>
    <row r="26" spans="1:20">
      <c r="A26" s="224" t="s">
        <v>68</v>
      </c>
      <c r="B26" s="225" t="s">
        <v>24</v>
      </c>
      <c r="C26" s="225" t="s">
        <v>24</v>
      </c>
      <c r="D26" s="226" t="s">
        <v>25</v>
      </c>
      <c r="E26" s="226">
        <v>103</v>
      </c>
      <c r="F26" s="227">
        <v>4.7596999999999996</v>
      </c>
      <c r="G26" s="228">
        <v>76.31</v>
      </c>
      <c r="H26" s="228">
        <v>1213.6099999999999</v>
      </c>
      <c r="I26" s="229" t="s">
        <v>25</v>
      </c>
      <c r="J26" s="229">
        <v>177</v>
      </c>
      <c r="K26" s="230">
        <v>3444.43</v>
      </c>
      <c r="L26" s="231">
        <v>95.42</v>
      </c>
      <c r="M26" s="231">
        <v>1690.97</v>
      </c>
      <c r="N26" s="232" t="s">
        <v>298</v>
      </c>
      <c r="O26" s="233">
        <v>4.8460900000000002</v>
      </c>
      <c r="P26" s="234">
        <v>84.27</v>
      </c>
      <c r="Q26" s="234">
        <v>405.48</v>
      </c>
      <c r="R26" s="235">
        <f t="shared" si="0"/>
        <v>0.33411062862039703</v>
      </c>
      <c r="S26" s="235">
        <f t="shared" si="1"/>
        <v>0.23979136235415177</v>
      </c>
      <c r="T26" s="82" t="s">
        <v>277</v>
      </c>
    </row>
    <row r="27" spans="1:20">
      <c r="A27" s="224" t="s">
        <v>69</v>
      </c>
      <c r="B27" s="225" t="s">
        <v>24</v>
      </c>
      <c r="C27" s="225" t="s">
        <v>24</v>
      </c>
      <c r="D27" s="226" t="s">
        <v>25</v>
      </c>
      <c r="E27" s="226">
        <v>41</v>
      </c>
      <c r="F27" s="227">
        <v>4.8308799999999996</v>
      </c>
      <c r="G27" s="228">
        <v>89.52</v>
      </c>
      <c r="H27" s="228">
        <v>421.16</v>
      </c>
      <c r="I27" s="229" t="s">
        <v>25</v>
      </c>
      <c r="J27" s="229">
        <v>138</v>
      </c>
      <c r="K27" s="230">
        <v>4278.04</v>
      </c>
      <c r="L27" s="231">
        <v>98.52</v>
      </c>
      <c r="M27" s="231">
        <v>1278.75</v>
      </c>
      <c r="N27" s="232" t="s">
        <v>291</v>
      </c>
      <c r="O27" s="233">
        <v>3.5269599999999999</v>
      </c>
      <c r="P27" s="234">
        <v>99.82</v>
      </c>
      <c r="Q27" s="234">
        <v>113.99</v>
      </c>
      <c r="R27" s="235">
        <f t="shared" si="0"/>
        <v>0.27065723240573653</v>
      </c>
      <c r="S27" s="235">
        <f t="shared" si="1"/>
        <v>8.914173998044965E-2</v>
      </c>
      <c r="T27" s="82" t="s">
        <v>277</v>
      </c>
    </row>
    <row r="28" spans="1:20">
      <c r="A28" s="224" t="s">
        <v>71</v>
      </c>
      <c r="B28" s="225" t="s">
        <v>24</v>
      </c>
      <c r="C28" s="225" t="s">
        <v>24</v>
      </c>
      <c r="D28" s="226" t="s">
        <v>25</v>
      </c>
      <c r="E28" s="226">
        <v>50</v>
      </c>
      <c r="F28" s="227">
        <v>3.4606400000000002</v>
      </c>
      <c r="G28" s="228">
        <v>99.6</v>
      </c>
      <c r="H28" s="228">
        <v>478.82</v>
      </c>
      <c r="I28" s="229" t="s">
        <v>25</v>
      </c>
      <c r="J28" s="229">
        <v>56</v>
      </c>
      <c r="K28" s="230">
        <v>4.7450000000000001</v>
      </c>
      <c r="L28" s="231">
        <v>81.36</v>
      </c>
      <c r="M28" s="231">
        <v>476.17</v>
      </c>
      <c r="N28" s="232" t="s">
        <v>295</v>
      </c>
      <c r="O28" s="233">
        <v>5.1529499999999997</v>
      </c>
      <c r="P28" s="234">
        <v>130.97</v>
      </c>
      <c r="Q28" s="234">
        <v>181.61</v>
      </c>
      <c r="R28" s="235">
        <f t="shared" si="0"/>
        <v>0.37928657950795708</v>
      </c>
      <c r="S28" s="235">
        <f t="shared" si="1"/>
        <v>0.38139740008820383</v>
      </c>
      <c r="T28" s="82" t="s">
        <v>277</v>
      </c>
    </row>
    <row r="29" spans="1:20">
      <c r="A29" s="224" t="s">
        <v>72</v>
      </c>
      <c r="B29" s="225">
        <v>7</v>
      </c>
      <c r="C29" s="225" t="s">
        <v>24</v>
      </c>
      <c r="D29" s="226" t="s">
        <v>25</v>
      </c>
      <c r="E29" s="226">
        <v>34</v>
      </c>
      <c r="F29" s="227">
        <v>4.6810999999999998</v>
      </c>
      <c r="G29" s="228">
        <v>80.3</v>
      </c>
      <c r="H29" s="228">
        <v>390.16</v>
      </c>
      <c r="I29" s="229" t="s">
        <v>25</v>
      </c>
      <c r="J29" s="229">
        <v>67</v>
      </c>
      <c r="K29" s="230">
        <v>4817.9399999999996</v>
      </c>
      <c r="L29" s="231">
        <v>92.04</v>
      </c>
      <c r="M29" s="231">
        <v>669.91</v>
      </c>
      <c r="N29" s="232" t="s">
        <v>299</v>
      </c>
      <c r="O29" s="233">
        <v>4.9711499999999997</v>
      </c>
      <c r="P29" s="234">
        <v>94.15</v>
      </c>
      <c r="Q29" s="234">
        <v>163.62</v>
      </c>
      <c r="R29" s="235">
        <f t="shared" si="0"/>
        <v>0.41936641377896244</v>
      </c>
      <c r="S29" s="235">
        <f t="shared" si="1"/>
        <v>0.24424176381902049</v>
      </c>
      <c r="T29" s="82" t="s">
        <v>277</v>
      </c>
    </row>
    <row r="30" spans="1:20">
      <c r="A30" s="224" t="s">
        <v>74</v>
      </c>
      <c r="B30" s="225" t="s">
        <v>24</v>
      </c>
      <c r="C30" s="225" t="s">
        <v>24</v>
      </c>
      <c r="D30" s="226" t="s">
        <v>25</v>
      </c>
      <c r="E30" s="226">
        <v>175</v>
      </c>
      <c r="F30" s="227">
        <v>4.9497200000000001</v>
      </c>
      <c r="G30" s="228">
        <v>63.97</v>
      </c>
      <c r="H30" s="228">
        <v>2482.15</v>
      </c>
      <c r="I30" s="229" t="s">
        <v>25</v>
      </c>
      <c r="J30" s="229">
        <v>210</v>
      </c>
      <c r="K30" s="230">
        <v>4.9740000000000002</v>
      </c>
      <c r="L30" s="231">
        <v>89.5</v>
      </c>
      <c r="M30" s="231">
        <v>1842.45</v>
      </c>
      <c r="N30" s="232" t="s">
        <v>300</v>
      </c>
      <c r="O30" s="233">
        <v>4.95113</v>
      </c>
      <c r="P30" s="234">
        <v>76.13</v>
      </c>
      <c r="Q30" s="234">
        <v>548.58000000000004</v>
      </c>
      <c r="R30" s="235">
        <f t="shared" si="0"/>
        <v>0.22101001148198135</v>
      </c>
      <c r="S30" s="235">
        <f t="shared" si="1"/>
        <v>0.29774485060652939</v>
      </c>
      <c r="T30" s="82" t="s">
        <v>277</v>
      </c>
    </row>
    <row r="31" spans="1:20">
      <c r="A31" s="224" t="s">
        <v>75</v>
      </c>
      <c r="B31" s="225" t="s">
        <v>24</v>
      </c>
      <c r="C31" s="225" t="s">
        <v>24</v>
      </c>
      <c r="D31" s="226" t="s">
        <v>25</v>
      </c>
      <c r="E31" s="226">
        <v>31</v>
      </c>
      <c r="F31" s="227">
        <v>4.8127199999999997</v>
      </c>
      <c r="G31" s="228">
        <v>95.36</v>
      </c>
      <c r="H31" s="228">
        <v>301.70999999999998</v>
      </c>
      <c r="I31" s="229" t="s">
        <v>25</v>
      </c>
      <c r="J31" s="229">
        <v>16</v>
      </c>
      <c r="K31" s="230">
        <v>2.004</v>
      </c>
      <c r="L31" s="231">
        <v>99.53</v>
      </c>
      <c r="M31" s="231">
        <v>147.38999999999999</v>
      </c>
      <c r="N31" s="232" t="s">
        <v>301</v>
      </c>
      <c r="O31" s="233">
        <v>6.8041900000000002</v>
      </c>
      <c r="P31" s="234">
        <v>116.33</v>
      </c>
      <c r="Q31" s="234">
        <v>140.30000000000001</v>
      </c>
      <c r="R31" s="235">
        <f t="shared" si="0"/>
        <v>0.46501607503894477</v>
      </c>
      <c r="S31" s="235">
        <f t="shared" si="1"/>
        <v>0.95189632946604263</v>
      </c>
      <c r="T31" s="82" t="s">
        <v>277</v>
      </c>
    </row>
    <row r="32" spans="1:20">
      <c r="A32" s="224" t="s">
        <v>77</v>
      </c>
      <c r="B32" s="225" t="s">
        <v>24</v>
      </c>
      <c r="C32" s="225" t="s">
        <v>24</v>
      </c>
      <c r="D32" s="226" t="s">
        <v>43</v>
      </c>
      <c r="E32" s="226">
        <v>82</v>
      </c>
      <c r="F32" s="227">
        <v>4.6053300000000004</v>
      </c>
      <c r="G32" s="228">
        <v>99.65</v>
      </c>
      <c r="H32" s="228">
        <v>783.81</v>
      </c>
      <c r="I32" s="229"/>
      <c r="J32" s="229"/>
      <c r="K32" s="230"/>
      <c r="L32" s="231"/>
      <c r="M32" s="231"/>
      <c r="N32" s="232" t="s">
        <v>302</v>
      </c>
      <c r="O32" s="233">
        <v>9.7074700000000007</v>
      </c>
      <c r="P32" s="234">
        <v>164.9</v>
      </c>
      <c r="Q32" s="234">
        <v>341.62</v>
      </c>
      <c r="R32" s="235">
        <f t="shared" si="0"/>
        <v>0.43584542172210106</v>
      </c>
      <c r="S32" s="235" t="str">
        <f t="shared" si="1"/>
        <v/>
      </c>
      <c r="T32" s="82" t="s">
        <v>277</v>
      </c>
    </row>
    <row r="33" spans="1:20">
      <c r="A33" s="224" t="s">
        <v>80</v>
      </c>
      <c r="B33" s="225">
        <v>1</v>
      </c>
      <c r="C33" s="225" t="s">
        <v>24</v>
      </c>
      <c r="D33" s="226" t="s">
        <v>25</v>
      </c>
      <c r="E33" s="226">
        <v>40</v>
      </c>
      <c r="F33" s="227">
        <v>1.21926</v>
      </c>
      <c r="G33" s="228">
        <v>86.51</v>
      </c>
      <c r="H33" s="228">
        <v>165.69</v>
      </c>
      <c r="I33" s="229" t="s">
        <v>25</v>
      </c>
      <c r="J33" s="229" t="s">
        <v>23</v>
      </c>
      <c r="K33" s="230"/>
      <c r="L33" s="231"/>
      <c r="M33" s="231"/>
      <c r="N33" s="232">
        <v>9</v>
      </c>
      <c r="O33" s="233">
        <v>1.41</v>
      </c>
      <c r="P33" s="234">
        <v>75.25</v>
      </c>
      <c r="Q33" s="234">
        <v>40.89</v>
      </c>
      <c r="R33" s="235">
        <f t="shared" si="0"/>
        <v>0.24678616693825819</v>
      </c>
      <c r="S33" s="235" t="str">
        <f t="shared" si="1"/>
        <v/>
      </c>
      <c r="T33" s="82" t="s">
        <v>303</v>
      </c>
    </row>
    <row r="34" spans="1:20">
      <c r="A34" s="224" t="s">
        <v>84</v>
      </c>
      <c r="B34" s="225">
        <v>8</v>
      </c>
      <c r="C34" s="225" t="s">
        <v>24</v>
      </c>
      <c r="D34" s="226" t="s">
        <v>25</v>
      </c>
      <c r="E34" s="226">
        <v>68</v>
      </c>
      <c r="F34" s="227">
        <v>4.9910500000000004</v>
      </c>
      <c r="G34" s="228">
        <v>63.18</v>
      </c>
      <c r="H34" s="228">
        <v>916.51</v>
      </c>
      <c r="I34" s="229" t="s">
        <v>25</v>
      </c>
      <c r="J34" s="229">
        <v>156</v>
      </c>
      <c r="K34" s="230">
        <v>4939.28</v>
      </c>
      <c r="L34" s="231">
        <v>96.11</v>
      </c>
      <c r="M34" s="231">
        <v>1437.52</v>
      </c>
      <c r="N34" s="232" t="s">
        <v>304</v>
      </c>
      <c r="O34" s="233">
        <v>4.9202899999999996</v>
      </c>
      <c r="P34" s="234">
        <v>86.14</v>
      </c>
      <c r="Q34" s="234">
        <v>316.39999999999998</v>
      </c>
      <c r="R34" s="235">
        <f t="shared" si="0"/>
        <v>0.34522263805086684</v>
      </c>
      <c r="S34" s="235">
        <f t="shared" si="1"/>
        <v>0.22010128554733149</v>
      </c>
      <c r="T34" s="82" t="s">
        <v>277</v>
      </c>
    </row>
    <row r="35" spans="1:20">
      <c r="A35" s="224" t="s">
        <v>86</v>
      </c>
      <c r="B35" s="225">
        <v>1</v>
      </c>
      <c r="C35" s="225" t="s">
        <v>24</v>
      </c>
      <c r="D35" s="226" t="s">
        <v>25</v>
      </c>
      <c r="E35" s="226">
        <v>360</v>
      </c>
      <c r="F35" s="227">
        <v>3.2364899999999999</v>
      </c>
      <c r="G35" s="228">
        <v>39.25</v>
      </c>
      <c r="H35" s="228">
        <v>8207.82</v>
      </c>
      <c r="I35" s="229" t="s">
        <v>25</v>
      </c>
      <c r="J35" s="229">
        <v>816</v>
      </c>
      <c r="K35" s="230">
        <v>4839.4799999999996</v>
      </c>
      <c r="L35" s="231">
        <v>94.5</v>
      </c>
      <c r="M35" s="231">
        <v>7613.21</v>
      </c>
      <c r="N35" s="232" t="s">
        <v>305</v>
      </c>
      <c r="O35" s="233">
        <v>4.9916700000000001</v>
      </c>
      <c r="P35" s="234">
        <v>59.51</v>
      </c>
      <c r="Q35" s="234">
        <v>3170.19</v>
      </c>
      <c r="R35" s="235">
        <f t="shared" si="0"/>
        <v>0.38624019532592091</v>
      </c>
      <c r="S35" s="235">
        <f t="shared" si="1"/>
        <v>0.41640648294214927</v>
      </c>
      <c r="T35" s="82" t="s">
        <v>277</v>
      </c>
    </row>
    <row r="36" spans="1:20">
      <c r="A36" s="224" t="s">
        <v>87</v>
      </c>
      <c r="B36" s="225">
        <v>3</v>
      </c>
      <c r="C36" s="225" t="s">
        <v>24</v>
      </c>
      <c r="D36" s="226" t="s">
        <v>25</v>
      </c>
      <c r="E36" s="226">
        <v>114</v>
      </c>
      <c r="F36" s="227">
        <v>3.2503000000000002</v>
      </c>
      <c r="G36" s="228">
        <v>97.82</v>
      </c>
      <c r="H36" s="228">
        <v>1118.08</v>
      </c>
      <c r="I36" s="229" t="s">
        <v>25</v>
      </c>
      <c r="J36" s="229">
        <v>280</v>
      </c>
      <c r="K36" s="230">
        <v>2541.41</v>
      </c>
      <c r="L36" s="231">
        <v>3949.54</v>
      </c>
      <c r="M36" s="231">
        <v>97.79</v>
      </c>
      <c r="N36" s="232" t="s">
        <v>306</v>
      </c>
      <c r="O36" s="233">
        <v>2.7239599999999999</v>
      </c>
      <c r="P36" s="234">
        <v>97.62</v>
      </c>
      <c r="Q36" s="234">
        <v>289.48</v>
      </c>
      <c r="R36" s="235">
        <f t="shared" si="0"/>
        <v>0.25890812821980541</v>
      </c>
      <c r="S36" s="235">
        <f t="shared" si="1"/>
        <v>2.960220881480724</v>
      </c>
      <c r="T36" s="82" t="s">
        <v>277</v>
      </c>
    </row>
    <row r="37" spans="1:20">
      <c r="A37" s="224" t="s">
        <v>88</v>
      </c>
      <c r="B37" s="225">
        <v>70</v>
      </c>
      <c r="C37" s="225" t="s">
        <v>24</v>
      </c>
      <c r="D37" s="226" t="s">
        <v>43</v>
      </c>
      <c r="E37" s="226">
        <v>1</v>
      </c>
      <c r="F37" s="227">
        <v>2.85547</v>
      </c>
      <c r="G37" s="228">
        <v>173.51</v>
      </c>
      <c r="H37" s="228">
        <v>5.68</v>
      </c>
      <c r="I37" s="229" t="s">
        <v>44</v>
      </c>
      <c r="J37" s="229">
        <v>1</v>
      </c>
      <c r="K37" s="230">
        <v>3457.87</v>
      </c>
      <c r="L37" s="231">
        <v>3457.87</v>
      </c>
      <c r="M37" s="231">
        <v>3457.87</v>
      </c>
      <c r="N37" s="232" t="s">
        <v>280</v>
      </c>
      <c r="O37" s="233">
        <v>7.9523099999999998</v>
      </c>
      <c r="P37" s="234">
        <v>360.07</v>
      </c>
      <c r="Q37" s="234">
        <v>2.72</v>
      </c>
      <c r="R37" s="235">
        <f t="shared" si="0"/>
        <v>0.4788732394366198</v>
      </c>
      <c r="S37" s="235">
        <f t="shared" si="1"/>
        <v>7.8661141107097727E-4</v>
      </c>
      <c r="T37" s="82" t="s">
        <v>277</v>
      </c>
    </row>
    <row r="38" spans="1:20">
      <c r="A38" s="224" t="s">
        <v>89</v>
      </c>
      <c r="B38" s="225">
        <v>32</v>
      </c>
      <c r="C38" s="225" t="s">
        <v>24</v>
      </c>
      <c r="D38" s="226" t="s">
        <v>43</v>
      </c>
      <c r="E38" s="226">
        <v>2</v>
      </c>
      <c r="F38" s="227">
        <v>1.03731</v>
      </c>
      <c r="G38" s="228">
        <v>90.69</v>
      </c>
      <c r="H38" s="228">
        <v>21.6</v>
      </c>
      <c r="I38" s="229" t="s">
        <v>44</v>
      </c>
      <c r="J38" s="229">
        <v>12</v>
      </c>
      <c r="K38" s="230">
        <v>4938.93</v>
      </c>
      <c r="L38" s="231">
        <v>79.680000000000007</v>
      </c>
      <c r="M38" s="231">
        <v>142.12</v>
      </c>
      <c r="N38" s="232" t="s">
        <v>307</v>
      </c>
      <c r="O38" s="233">
        <v>2.0426500000000001</v>
      </c>
      <c r="P38" s="234">
        <v>149.28</v>
      </c>
      <c r="Q38" s="234">
        <v>9.59</v>
      </c>
      <c r="R38" s="235">
        <f t="shared" si="0"/>
        <v>0.44398148148148142</v>
      </c>
      <c r="S38" s="235">
        <f t="shared" si="1"/>
        <v>6.7478187447227694E-2</v>
      </c>
      <c r="T38" s="82" t="s">
        <v>277</v>
      </c>
    </row>
    <row r="39" spans="1:20">
      <c r="A39" s="224" t="s">
        <v>90</v>
      </c>
      <c r="B39" s="225" t="s">
        <v>85</v>
      </c>
      <c r="C39" s="225" t="s">
        <v>24</v>
      </c>
      <c r="D39" s="226" t="s">
        <v>25</v>
      </c>
      <c r="E39" s="226">
        <v>66</v>
      </c>
      <c r="F39" s="227">
        <v>4.7177199999999999</v>
      </c>
      <c r="G39" s="228">
        <v>63.11</v>
      </c>
      <c r="H39" s="228">
        <v>904.69</v>
      </c>
      <c r="I39" s="229"/>
      <c r="J39" s="229"/>
      <c r="K39" s="230"/>
      <c r="L39" s="231"/>
      <c r="M39" s="231"/>
      <c r="N39" s="232" t="s">
        <v>308</v>
      </c>
      <c r="O39" s="233">
        <v>4.9616199999999999</v>
      </c>
      <c r="P39" s="234">
        <v>85.45</v>
      </c>
      <c r="Q39" s="234">
        <v>326.5</v>
      </c>
      <c r="R39" s="235">
        <f t="shared" si="0"/>
        <v>0.36089710287501792</v>
      </c>
      <c r="S39" s="235" t="str">
        <f t="shared" si="1"/>
        <v/>
      </c>
      <c r="T39" s="82" t="s">
        <v>277</v>
      </c>
    </row>
    <row r="40" spans="1:20">
      <c r="A40" s="224" t="s">
        <v>91</v>
      </c>
      <c r="B40" s="225">
        <v>8</v>
      </c>
      <c r="C40" s="225" t="s">
        <v>24</v>
      </c>
      <c r="D40" s="226" t="s">
        <v>25</v>
      </c>
      <c r="E40" s="226">
        <v>58</v>
      </c>
      <c r="F40" s="227">
        <v>4.8988699999999996</v>
      </c>
      <c r="G40" s="228">
        <v>93.03</v>
      </c>
      <c r="H40" s="228">
        <v>575.97</v>
      </c>
      <c r="I40" s="229" t="s">
        <v>25</v>
      </c>
      <c r="J40" s="229">
        <v>68</v>
      </c>
      <c r="K40" s="230">
        <v>4.9989999999999997</v>
      </c>
      <c r="L40" s="231">
        <v>62.52</v>
      </c>
      <c r="M40" s="231">
        <v>932.95</v>
      </c>
      <c r="N40" s="232" t="s">
        <v>309</v>
      </c>
      <c r="O40" s="233">
        <v>3.4940199999999999</v>
      </c>
      <c r="P40" s="234">
        <v>47.23</v>
      </c>
      <c r="Q40" s="234">
        <v>286.47000000000003</v>
      </c>
      <c r="R40" s="235">
        <f t="shared" si="0"/>
        <v>0.49736965466951405</v>
      </c>
      <c r="S40" s="235">
        <f t="shared" si="1"/>
        <v>0.30705825606945714</v>
      </c>
      <c r="T40" s="82" t="s">
        <v>277</v>
      </c>
    </row>
    <row r="41" spans="1:20">
      <c r="A41" s="224" t="s">
        <v>93</v>
      </c>
      <c r="B41" s="225">
        <v>1</v>
      </c>
      <c r="C41" s="225" t="s">
        <v>24</v>
      </c>
      <c r="D41" s="226" t="s">
        <v>25</v>
      </c>
      <c r="E41" s="226">
        <v>334</v>
      </c>
      <c r="F41" s="227">
        <v>4.9412000000000003</v>
      </c>
      <c r="G41" s="228">
        <v>41.26</v>
      </c>
      <c r="H41" s="228">
        <v>7191.72</v>
      </c>
      <c r="I41" s="229" t="s">
        <v>25</v>
      </c>
      <c r="J41" s="229">
        <v>546</v>
      </c>
      <c r="K41" s="230">
        <v>4.9379999999999997</v>
      </c>
      <c r="L41" s="231">
        <v>72.599999999999994</v>
      </c>
      <c r="M41" s="231">
        <v>6233.22</v>
      </c>
      <c r="N41" s="232" t="s">
        <v>310</v>
      </c>
      <c r="O41" s="233">
        <v>4.97905</v>
      </c>
      <c r="P41" s="234">
        <v>37.909999999999997</v>
      </c>
      <c r="Q41" s="234">
        <v>3166.86</v>
      </c>
      <c r="R41" s="235">
        <f t="shared" si="0"/>
        <v>0.44034806694365186</v>
      </c>
      <c r="S41" s="235">
        <f t="shared" si="1"/>
        <v>0.50806164390154684</v>
      </c>
      <c r="T41" s="82" t="s">
        <v>277</v>
      </c>
    </row>
    <row r="42" spans="1:20">
      <c r="A42" s="224" t="s">
        <v>94</v>
      </c>
      <c r="B42" s="225">
        <v>3</v>
      </c>
      <c r="C42" s="225" t="s">
        <v>24</v>
      </c>
      <c r="D42" s="226" t="s">
        <v>25</v>
      </c>
      <c r="E42" s="226">
        <v>90</v>
      </c>
      <c r="F42" s="227">
        <v>4.5307399999999998</v>
      </c>
      <c r="G42" s="228">
        <v>99.29</v>
      </c>
      <c r="H42" s="228">
        <v>864.6</v>
      </c>
      <c r="I42" s="229" t="s">
        <v>25</v>
      </c>
      <c r="J42" s="229">
        <v>186</v>
      </c>
      <c r="K42" s="230">
        <v>4.93</v>
      </c>
      <c r="L42" s="231">
        <v>77.48</v>
      </c>
      <c r="M42" s="231">
        <v>2074.77</v>
      </c>
      <c r="N42" s="232" t="s">
        <v>311</v>
      </c>
      <c r="O42" s="233">
        <v>4.7585100000000002</v>
      </c>
      <c r="P42" s="234">
        <v>86.06</v>
      </c>
      <c r="Q42" s="234">
        <v>352.39</v>
      </c>
      <c r="R42" s="235">
        <f t="shared" si="0"/>
        <v>0.40757575757575754</v>
      </c>
      <c r="S42" s="235">
        <f t="shared" si="1"/>
        <v>0.16984533225369558</v>
      </c>
      <c r="T42" s="82" t="s">
        <v>277</v>
      </c>
    </row>
    <row r="43" spans="1:20" ht="144.94999999999999">
      <c r="A43" s="224" t="s">
        <v>95</v>
      </c>
      <c r="B43" s="225">
        <v>32</v>
      </c>
      <c r="C43" s="225" t="s">
        <v>24</v>
      </c>
      <c r="D43" s="226" t="s">
        <v>43</v>
      </c>
      <c r="E43" s="226">
        <v>1</v>
      </c>
      <c r="F43" s="227">
        <v>1.5234399999999999</v>
      </c>
      <c r="G43" s="228">
        <v>137.84</v>
      </c>
      <c r="H43" s="228">
        <v>7.18</v>
      </c>
      <c r="I43" s="229" t="s">
        <v>44</v>
      </c>
      <c r="J43" s="229">
        <v>6</v>
      </c>
      <c r="K43" s="230">
        <v>4.8559999999999999</v>
      </c>
      <c r="L43" s="231">
        <v>66.569999999999993</v>
      </c>
      <c r="M43" s="231">
        <v>84.2</v>
      </c>
      <c r="N43" s="232" t="s">
        <v>282</v>
      </c>
      <c r="O43" s="233" t="s">
        <v>312</v>
      </c>
      <c r="P43" s="234" t="s">
        <v>313</v>
      </c>
      <c r="Q43" s="234"/>
      <c r="R43" s="235" t="str">
        <f t="shared" si="0"/>
        <v/>
      </c>
      <c r="S43" s="235" t="str">
        <f t="shared" si="1"/>
        <v/>
      </c>
      <c r="T43" s="82" t="s">
        <v>277</v>
      </c>
    </row>
    <row r="44" spans="1:20">
      <c r="A44" s="224" t="s">
        <v>96</v>
      </c>
      <c r="B44" s="225">
        <v>14</v>
      </c>
      <c r="C44" s="225" t="s">
        <v>24</v>
      </c>
      <c r="D44" s="226" t="s">
        <v>43</v>
      </c>
      <c r="E44" s="226">
        <v>14</v>
      </c>
      <c r="F44" s="227">
        <v>3.9120400000000002</v>
      </c>
      <c r="G44" s="228">
        <v>99.01</v>
      </c>
      <c r="H44" s="228">
        <v>135.68</v>
      </c>
      <c r="I44" s="229" t="s">
        <v>25</v>
      </c>
      <c r="J44" s="229">
        <v>32</v>
      </c>
      <c r="K44" s="230">
        <v>4.915</v>
      </c>
      <c r="L44" s="231">
        <v>77.760000000000005</v>
      </c>
      <c r="M44" s="231">
        <v>371.6</v>
      </c>
      <c r="N44" s="232" t="s">
        <v>314</v>
      </c>
      <c r="O44" s="233">
        <v>4.8856900000000003</v>
      </c>
      <c r="P44" s="234">
        <v>88.18</v>
      </c>
      <c r="Q44" s="234">
        <v>54.83</v>
      </c>
      <c r="R44" s="235">
        <f t="shared" si="0"/>
        <v>0.40411261792452829</v>
      </c>
      <c r="S44" s="235">
        <f t="shared" si="1"/>
        <v>0.14755113024757802</v>
      </c>
      <c r="T44" s="82" t="s">
        <v>277</v>
      </c>
    </row>
    <row r="45" spans="1:20">
      <c r="A45" s="224" t="s">
        <v>97</v>
      </c>
      <c r="B45" s="225">
        <v>7</v>
      </c>
      <c r="C45" s="225" t="s">
        <v>24</v>
      </c>
      <c r="D45" s="226" t="s">
        <v>25</v>
      </c>
      <c r="E45" s="226">
        <v>54</v>
      </c>
      <c r="F45" s="227">
        <v>4.7649299999999997</v>
      </c>
      <c r="G45" s="228">
        <v>86.92</v>
      </c>
      <c r="H45" s="228">
        <v>581.11</v>
      </c>
      <c r="I45" s="229" t="s">
        <v>25</v>
      </c>
      <c r="J45" s="229">
        <v>66</v>
      </c>
      <c r="K45" s="230">
        <v>4.9400000000000004</v>
      </c>
      <c r="L45" s="231">
        <v>58.03</v>
      </c>
      <c r="M45" s="231">
        <v>977.72</v>
      </c>
      <c r="N45" s="232" t="s">
        <v>309</v>
      </c>
      <c r="O45" s="233">
        <v>3.4772099999999999</v>
      </c>
      <c r="P45" s="234">
        <v>42.73</v>
      </c>
      <c r="Q45" s="234">
        <v>313.25</v>
      </c>
      <c r="R45" s="235">
        <f t="shared" si="0"/>
        <v>0.53905456798196549</v>
      </c>
      <c r="S45" s="235">
        <f t="shared" si="1"/>
        <v>0.3203882502147854</v>
      </c>
      <c r="T45" s="82" t="s">
        <v>277</v>
      </c>
    </row>
    <row r="46" spans="1:20">
      <c r="A46" s="224" t="s">
        <v>98</v>
      </c>
      <c r="B46" s="225" t="s">
        <v>92</v>
      </c>
      <c r="C46" s="225" t="s">
        <v>24</v>
      </c>
      <c r="D46" s="226" t="s">
        <v>25</v>
      </c>
      <c r="E46" s="226">
        <v>365</v>
      </c>
      <c r="F46" s="227">
        <v>2.75204</v>
      </c>
      <c r="G46" s="228">
        <v>64.84</v>
      </c>
      <c r="H46" s="228">
        <v>5346.7</v>
      </c>
      <c r="I46" s="229"/>
      <c r="J46" s="229"/>
      <c r="K46" s="230"/>
      <c r="L46" s="231"/>
      <c r="M46" s="231"/>
      <c r="N46" s="232" t="s">
        <v>315</v>
      </c>
      <c r="O46" s="233">
        <v>4.74716</v>
      </c>
      <c r="P46" s="234">
        <v>98.62</v>
      </c>
      <c r="Q46" s="234">
        <v>2476.04</v>
      </c>
      <c r="R46" s="235">
        <f t="shared" si="0"/>
        <v>0.46309686348588852</v>
      </c>
      <c r="S46" s="235" t="str">
        <f t="shared" si="1"/>
        <v/>
      </c>
      <c r="T46" s="82" t="s">
        <v>277</v>
      </c>
    </row>
    <row r="47" spans="1:20">
      <c r="A47" s="224" t="s">
        <v>99</v>
      </c>
      <c r="B47" s="225" t="s">
        <v>92</v>
      </c>
      <c r="C47" s="225" t="s">
        <v>24</v>
      </c>
      <c r="D47" s="226" t="s">
        <v>25</v>
      </c>
      <c r="E47" s="226">
        <v>305</v>
      </c>
      <c r="F47" s="227">
        <v>4.9529399999999999</v>
      </c>
      <c r="G47" s="228">
        <v>35.700000000000003</v>
      </c>
      <c r="H47" s="228">
        <v>7436.79</v>
      </c>
      <c r="I47" s="229"/>
      <c r="J47" s="229"/>
      <c r="K47" s="230"/>
      <c r="L47" s="231"/>
      <c r="M47" s="231"/>
      <c r="N47" s="232" t="s">
        <v>316</v>
      </c>
      <c r="O47" s="233">
        <v>4.9087100000000001</v>
      </c>
      <c r="P47" s="234">
        <v>29.99</v>
      </c>
      <c r="Q47" s="234">
        <v>3172.85</v>
      </c>
      <c r="R47" s="235">
        <f t="shared" si="0"/>
        <v>0.4266424088887813</v>
      </c>
      <c r="S47" s="235" t="str">
        <f t="shared" si="1"/>
        <v/>
      </c>
      <c r="T47" s="82" t="s">
        <v>277</v>
      </c>
    </row>
    <row r="48" spans="1:20">
      <c r="A48" s="224" t="s">
        <v>100</v>
      </c>
      <c r="B48" s="225" t="s">
        <v>92</v>
      </c>
      <c r="C48" s="225" t="s">
        <v>24</v>
      </c>
      <c r="D48" s="226" t="s">
        <v>25</v>
      </c>
      <c r="E48" s="226">
        <v>308</v>
      </c>
      <c r="F48" s="227">
        <v>4.9831099999999999</v>
      </c>
      <c r="G48" s="228">
        <v>37.299999999999997</v>
      </c>
      <c r="H48" s="228">
        <v>7213.04</v>
      </c>
      <c r="I48" s="229"/>
      <c r="J48" s="229"/>
      <c r="K48" s="230"/>
      <c r="L48" s="231"/>
      <c r="M48" s="231"/>
      <c r="N48" s="232" t="s">
        <v>317</v>
      </c>
      <c r="O48" s="233">
        <v>4.8161699999999996</v>
      </c>
      <c r="P48" s="234">
        <v>41.72</v>
      </c>
      <c r="Q48" s="234">
        <v>1594.79</v>
      </c>
      <c r="R48" s="235">
        <f t="shared" si="0"/>
        <v>0.22109817774475116</v>
      </c>
      <c r="S48" s="235" t="str">
        <f t="shared" si="1"/>
        <v/>
      </c>
      <c r="T48" s="82" t="s">
        <v>277</v>
      </c>
    </row>
    <row r="49" spans="1:20">
      <c r="A49" s="238" t="s">
        <v>318</v>
      </c>
      <c r="B49" s="238"/>
      <c r="C49" s="238"/>
      <c r="D49" s="239" t="s">
        <v>25</v>
      </c>
      <c r="E49" s="239"/>
      <c r="F49" s="239"/>
      <c r="G49" s="239"/>
      <c r="H49" s="239"/>
      <c r="I49" s="239"/>
      <c r="J49" s="239"/>
      <c r="K49" s="239"/>
      <c r="L49" s="239"/>
      <c r="M49" s="239"/>
      <c r="N49" s="239">
        <v>148</v>
      </c>
      <c r="O49" s="239">
        <v>4.9119999999999999</v>
      </c>
      <c r="P49" s="239">
        <v>80.959999999999994</v>
      </c>
      <c r="Q49" s="239">
        <v>677.75</v>
      </c>
      <c r="R49" s="238"/>
      <c r="S49" s="238"/>
      <c r="T49" s="82" t="s">
        <v>319</v>
      </c>
    </row>
    <row r="50" spans="1:20">
      <c r="A50" s="238" t="s">
        <v>320</v>
      </c>
      <c r="B50" s="238"/>
      <c r="C50" s="238"/>
      <c r="D50" s="239" t="s">
        <v>25</v>
      </c>
      <c r="E50" s="239"/>
      <c r="F50" s="239"/>
      <c r="G50" s="239"/>
      <c r="H50" s="239"/>
      <c r="I50" s="239"/>
      <c r="J50" s="239"/>
      <c r="K50" s="239"/>
      <c r="L50" s="239"/>
      <c r="M50" s="239"/>
      <c r="N50" s="239">
        <v>57</v>
      </c>
      <c r="O50" s="239">
        <v>4.3170000000000002</v>
      </c>
      <c r="P50" s="239">
        <v>98.26</v>
      </c>
      <c r="Q50" s="239">
        <v>241.54</v>
      </c>
      <c r="R50" s="238"/>
      <c r="S50" s="238"/>
      <c r="T50" s="82" t="s">
        <v>319</v>
      </c>
    </row>
  </sheetData>
  <mergeCells count="14">
    <mergeCell ref="N6:Q6"/>
    <mergeCell ref="R6:S6"/>
    <mergeCell ref="A1:A4"/>
    <mergeCell ref="B1:B4"/>
    <mergeCell ref="C1:C4"/>
    <mergeCell ref="D1:D4"/>
    <mergeCell ref="E1:S1"/>
    <mergeCell ref="E2:S2"/>
    <mergeCell ref="E3:S3"/>
    <mergeCell ref="A6:A7"/>
    <mergeCell ref="B6:B7"/>
    <mergeCell ref="C6:C7"/>
    <mergeCell ref="D6:H6"/>
    <mergeCell ref="I6:M6"/>
  </mergeCells>
  <hyperlinks>
    <hyperlink ref="T43" r:id="rId1" xr:uid="{608C2873-3363-44C6-8EEE-96BD94AFB2D3}"/>
    <hyperlink ref="T13" r:id="rId2" xr:uid="{DBF5DB58-CA37-426A-BA6F-B2B3DC42B87B}"/>
    <hyperlink ref="T16" r:id="rId3" xr:uid="{4E6B37AE-6C9D-4002-BE92-889D06237A98}"/>
    <hyperlink ref="T8:T12" r:id="rId4" display="https://inteltf-jenk.sh.intel.com/job/ipex_pytorch_cpu_vllm_benchmark_router-serving-GNR-weekly-automated/29/artifact/" xr:uid="{D17C301F-E45E-4E60-99E6-D09752DE2D55}"/>
    <hyperlink ref="T9:T12" r:id="rId5" display="https://inteltf-jenk.sh.intel.com/job/ipex_pytorch_cpu_vllm_benchmark_router-serving-GNR-weekly-automated/29/artifact/" xr:uid="{84469801-A12F-44C5-BC2B-CEC665AD3B23}"/>
    <hyperlink ref="T9" r:id="rId6" xr:uid="{6831FB56-3AF2-492B-9E22-48632CDDA054}"/>
    <hyperlink ref="T10" r:id="rId7" xr:uid="{BAB993B5-B3BD-4C49-8550-1B78E73256EC}"/>
    <hyperlink ref="T11" r:id="rId8" xr:uid="{06CF15FD-695A-4F37-92F4-0F12FDC35C3F}"/>
    <hyperlink ref="T12" r:id="rId9" xr:uid="{CF78F554-C912-4BA6-AD80-04D3616EC68B}"/>
    <hyperlink ref="T14" r:id="rId10" xr:uid="{D252B531-7D9B-4A2F-87E3-913E2353E406}"/>
    <hyperlink ref="T17" r:id="rId11" xr:uid="{832638A6-5796-4CEE-BFBF-AFD0A6D1FFC6}"/>
    <hyperlink ref="T18" r:id="rId12" xr:uid="{58E3EF40-9620-42B9-BA81-DF0E7D90B567}"/>
    <hyperlink ref="T19" r:id="rId13" xr:uid="{739AE7BC-6FF8-49AF-9F2E-BC5F6F3084EA}"/>
    <hyperlink ref="T20" r:id="rId14" xr:uid="{ACAAF5D1-6493-49F5-8729-3623914BFFB9}"/>
    <hyperlink ref="T22" r:id="rId15" xr:uid="{26169119-E41F-4CB2-A03C-1187857597C8}"/>
    <hyperlink ref="T23" r:id="rId16" xr:uid="{1D93F579-597D-41CD-A3A0-A0AB8A5B798E}"/>
    <hyperlink ref="T24" r:id="rId17" xr:uid="{D95B874C-8C5D-470F-8523-87971BFE421A}"/>
    <hyperlink ref="T25" r:id="rId18" xr:uid="{D059F041-B9E7-4025-9E9C-C1056FAD8F6B}"/>
    <hyperlink ref="T26" r:id="rId19" xr:uid="{0450D5B2-3F2D-4EF2-BC18-CE912103DC01}"/>
    <hyperlink ref="T27" r:id="rId20" xr:uid="{424C7BFD-A68C-4EF6-9822-9389602C0CFA}"/>
    <hyperlink ref="T28" r:id="rId21" xr:uid="{04E52EA0-59AD-4DC4-9366-A99182467FB6}"/>
    <hyperlink ref="T29" r:id="rId22" xr:uid="{18DEEB6D-AC50-43F6-B584-8516D7E86958}"/>
    <hyperlink ref="T30" r:id="rId23" xr:uid="{B8366FC6-C2F0-494D-BDFA-B872516A04A5}"/>
    <hyperlink ref="T31" r:id="rId24" xr:uid="{D398FE78-29DF-47EC-A0C5-3C922BD446F1}"/>
    <hyperlink ref="T32" r:id="rId25" xr:uid="{5B1CAA68-FED2-49A0-BD84-5D0F02D0C6B0}"/>
    <hyperlink ref="T34" r:id="rId26" xr:uid="{F01C9BEF-6841-4009-9511-6BA993A95109}"/>
    <hyperlink ref="T35" r:id="rId27" xr:uid="{D3863166-6901-4A5E-93CD-F770D1605291}"/>
    <hyperlink ref="T36" r:id="rId28" xr:uid="{83303202-D5E0-4D94-BADF-0812A6FAD10B}"/>
    <hyperlink ref="T37" r:id="rId29" xr:uid="{7A589173-7CE4-4835-A462-727F0DB7ECB9}"/>
    <hyperlink ref="T38" r:id="rId30" xr:uid="{E34E9858-7641-4B5F-B7D4-43CC31044B85}"/>
    <hyperlink ref="T39" r:id="rId31" xr:uid="{BDEEEF99-E8E1-42C1-8BB1-5BB0A7E5068A}"/>
    <hyperlink ref="T40" r:id="rId32" xr:uid="{C9F517F2-EA6A-4B24-8601-337AA66EA810}"/>
    <hyperlink ref="T41" r:id="rId33" xr:uid="{D3DFF5B3-358C-4538-96EC-2AA3120A52D7}"/>
    <hyperlink ref="T42" r:id="rId34" xr:uid="{2EBF2762-7B4C-4FD1-B66B-8CBA27D6D5A0}"/>
    <hyperlink ref="T44" r:id="rId35" xr:uid="{C0C3D2D7-13FA-4A3C-AE8A-2B50891E8E95}"/>
    <hyperlink ref="T45" r:id="rId36" xr:uid="{1918BD02-6E5B-4BAD-B907-243B56A3DEE9}"/>
    <hyperlink ref="T46" r:id="rId37" xr:uid="{B5849A62-A07C-474A-8CC2-9373E35FDD1E}"/>
    <hyperlink ref="T47" r:id="rId38" xr:uid="{53969201-8677-41E4-B7BD-78E7528CBA05}"/>
    <hyperlink ref="T48" r:id="rId39" xr:uid="{236E6372-32CD-4B14-888F-9BC1F29D4CC7}"/>
    <hyperlink ref="T15" r:id="rId40" xr:uid="{A452404B-9854-4DA1-AC57-0A6D227AB9A4}"/>
    <hyperlink ref="T33" r:id="rId41" xr:uid="{C14B3FA7-B0B4-4187-9D44-EC80869D356A}"/>
    <hyperlink ref="T21" r:id="rId42" xr:uid="{6D2DD1E9-DCA8-4918-9458-746B46CF9249}"/>
    <hyperlink ref="T49" r:id="rId43" xr:uid="{4CB7BA7F-D82C-4A1A-8AB5-AAD05EEC0413}"/>
    <hyperlink ref="T50" r:id="rId44" xr:uid="{05FEB354-E851-49C1-BF2C-9FCE40C660C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BD69-52F4-4D1F-87E0-87573682CEC3}">
  <dimension ref="A1:AC59"/>
  <sheetViews>
    <sheetView topLeftCell="I1" zoomScale="70" workbookViewId="0">
      <selection activeCell="AC10" sqref="AC10"/>
    </sheetView>
  </sheetViews>
  <sheetFormatPr defaultRowHeight="15.95"/>
  <cols>
    <col min="1" max="1" width="48.625" bestFit="1" customWidth="1"/>
    <col min="2" max="2" width="2.875" hidden="1" customWidth="1"/>
    <col min="3" max="4" width="9" hidden="1" customWidth="1"/>
    <col min="17" max="17" width="26.375" bestFit="1" customWidth="1"/>
    <col min="18" max="27" width="9" hidden="1" customWidth="1"/>
    <col min="28" max="28" width="13.125" hidden="1" customWidth="1"/>
    <col min="29" max="29" width="41" bestFit="1" customWidth="1"/>
  </cols>
  <sheetData>
    <row r="1" spans="1:29" ht="78.75" customHeight="1">
      <c r="A1" s="6" t="s">
        <v>103</v>
      </c>
      <c r="B1" s="14"/>
      <c r="C1" s="9"/>
      <c r="D1" s="7"/>
      <c r="E1" s="9" t="s">
        <v>104</v>
      </c>
      <c r="F1" s="9" t="s">
        <v>105</v>
      </c>
      <c r="G1" s="9" t="s">
        <v>106</v>
      </c>
      <c r="H1" s="257" t="s">
        <v>107</v>
      </c>
      <c r="I1" s="258"/>
      <c r="J1" s="258"/>
      <c r="K1" s="258"/>
      <c r="L1" s="257" t="s">
        <v>108</v>
      </c>
      <c r="M1" s="258"/>
      <c r="N1" s="258"/>
      <c r="O1" s="258"/>
      <c r="P1" s="258"/>
      <c r="Q1" s="258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9" ht="47.25" customHeight="1">
      <c r="A2" s="7"/>
      <c r="B2" s="9"/>
      <c r="C2" s="9"/>
      <c r="D2" s="7"/>
      <c r="E2" s="9"/>
      <c r="F2" s="9"/>
      <c r="G2" s="9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9" ht="18.600000000000001">
      <c r="A3" s="264" t="s">
        <v>6</v>
      </c>
      <c r="B3" s="51"/>
      <c r="C3" s="51"/>
      <c r="D3" s="45"/>
      <c r="E3" s="265" t="s">
        <v>113</v>
      </c>
      <c r="F3" s="266" t="s">
        <v>9</v>
      </c>
      <c r="G3" s="259" t="s">
        <v>109</v>
      </c>
      <c r="H3" s="260"/>
      <c r="I3" s="260"/>
      <c r="J3" s="260"/>
      <c r="K3" s="261"/>
      <c r="L3" s="270" t="s">
        <v>110</v>
      </c>
      <c r="M3" s="271"/>
      <c r="N3" s="271"/>
      <c r="O3" s="271"/>
      <c r="P3" s="272"/>
      <c r="Q3" s="267" t="s">
        <v>321</v>
      </c>
      <c r="R3" s="259" t="s">
        <v>211</v>
      </c>
      <c r="S3" s="260"/>
      <c r="T3" s="260"/>
      <c r="U3" s="260"/>
      <c r="V3" s="9"/>
      <c r="W3" s="9"/>
      <c r="X3" s="262" t="s">
        <v>222</v>
      </c>
      <c r="Y3" s="262"/>
      <c r="Z3" s="262"/>
      <c r="AA3" s="262"/>
      <c r="AC3" s="265" t="s">
        <v>322</v>
      </c>
    </row>
    <row r="4" spans="1:29">
      <c r="A4" s="264"/>
      <c r="B4" s="51"/>
      <c r="C4" s="14" t="s">
        <v>111</v>
      </c>
      <c r="D4" s="6" t="s">
        <v>112</v>
      </c>
      <c r="E4" s="265"/>
      <c r="F4" s="266"/>
      <c r="G4" s="2" t="s">
        <v>10</v>
      </c>
      <c r="H4" s="2" t="s">
        <v>11</v>
      </c>
      <c r="I4" s="2" t="s">
        <v>12</v>
      </c>
      <c r="J4" s="3" t="s">
        <v>13</v>
      </c>
      <c r="K4" s="3" t="s">
        <v>114</v>
      </c>
      <c r="L4" s="52" t="s">
        <v>10</v>
      </c>
      <c r="M4" s="52" t="s">
        <v>11</v>
      </c>
      <c r="N4" s="52" t="s">
        <v>12</v>
      </c>
      <c r="O4" s="52" t="s">
        <v>13</v>
      </c>
      <c r="P4" s="52" t="s">
        <v>114</v>
      </c>
      <c r="Q4" s="268"/>
      <c r="R4" s="2" t="s">
        <v>11</v>
      </c>
      <c r="S4" s="2" t="s">
        <v>12</v>
      </c>
      <c r="T4" s="3" t="s">
        <v>13</v>
      </c>
      <c r="U4" s="3" t="s">
        <v>114</v>
      </c>
      <c r="V4" s="3" t="s">
        <v>212</v>
      </c>
      <c r="W4" s="9"/>
      <c r="X4" s="56" t="s">
        <v>11</v>
      </c>
      <c r="Y4" s="56" t="s">
        <v>223</v>
      </c>
      <c r="Z4" s="56" t="s">
        <v>13</v>
      </c>
      <c r="AA4" s="56" t="s">
        <v>114</v>
      </c>
      <c r="AB4" s="83" t="s">
        <v>323</v>
      </c>
      <c r="AC4" s="265"/>
    </row>
    <row r="5" spans="1:29" hidden="1">
      <c r="A5" s="45"/>
      <c r="B5" s="51"/>
      <c r="C5" s="9"/>
      <c r="D5" s="7"/>
      <c r="E5" s="51" t="s">
        <v>116</v>
      </c>
      <c r="F5" s="51" t="s">
        <v>117</v>
      </c>
      <c r="G5" s="70"/>
      <c r="H5" s="70"/>
      <c r="I5" s="70"/>
      <c r="J5" s="71"/>
      <c r="K5" s="71"/>
      <c r="L5" s="72"/>
      <c r="M5" s="73"/>
      <c r="N5" s="73"/>
      <c r="O5" s="73"/>
      <c r="P5" s="73"/>
      <c r="Q5" s="72"/>
      <c r="R5" s="2"/>
      <c r="S5" s="2"/>
      <c r="T5" s="3"/>
      <c r="U5" s="3"/>
      <c r="V5" s="9"/>
      <c r="W5" s="9"/>
      <c r="X5" s="57"/>
      <c r="Y5" s="57"/>
      <c r="Z5" s="57"/>
      <c r="AA5" s="57"/>
    </row>
    <row r="6" spans="1:29">
      <c r="A6" s="60" t="s">
        <v>22</v>
      </c>
      <c r="B6" s="60"/>
      <c r="C6" s="74">
        <v>185</v>
      </c>
      <c r="D6" s="60" t="s">
        <v>118</v>
      </c>
      <c r="E6" s="57" t="s">
        <v>24</v>
      </c>
      <c r="F6" s="57" t="s">
        <v>24</v>
      </c>
      <c r="G6" s="75" t="s">
        <v>25</v>
      </c>
      <c r="H6" s="76">
        <v>46</v>
      </c>
      <c r="I6" s="76">
        <v>4.7850000000000001</v>
      </c>
      <c r="J6" s="76">
        <v>86.03</v>
      </c>
      <c r="K6" s="76">
        <v>501.76</v>
      </c>
      <c r="L6" s="61" t="s">
        <v>25</v>
      </c>
      <c r="M6" s="61">
        <v>63</v>
      </c>
      <c r="N6" s="61">
        <v>4885.2299999999996</v>
      </c>
      <c r="O6" s="61">
        <v>95.4</v>
      </c>
      <c r="P6" s="61">
        <v>645.95000000000005</v>
      </c>
      <c r="Q6" s="77">
        <f t="shared" ref="Q6:Q36" si="0">K6/P6</f>
        <v>0.77677838842015634</v>
      </c>
      <c r="R6" s="63">
        <v>11</v>
      </c>
      <c r="S6" s="18">
        <v>4.7469999999999999</v>
      </c>
      <c r="T6" s="19">
        <v>85.42</v>
      </c>
      <c r="U6" s="19">
        <v>119.54</v>
      </c>
      <c r="V6" s="42">
        <f t="shared" ref="V6:V23" si="1">K6/U6</f>
        <v>4.1974234565835697</v>
      </c>
      <c r="W6" s="9"/>
      <c r="X6" s="57">
        <v>63</v>
      </c>
      <c r="Y6" s="58">
        <v>4885.2299999999996</v>
      </c>
      <c r="Z6" s="58">
        <v>95.4</v>
      </c>
      <c r="AA6" s="58">
        <v>645.95000000000005</v>
      </c>
      <c r="AB6" s="82" t="s">
        <v>226</v>
      </c>
      <c r="AC6" s="82" t="s">
        <v>324</v>
      </c>
    </row>
    <row r="7" spans="1:29">
      <c r="A7" s="60" t="s">
        <v>29</v>
      </c>
      <c r="B7" s="60"/>
      <c r="C7" s="74">
        <v>185</v>
      </c>
      <c r="D7" s="60" t="s">
        <v>119</v>
      </c>
      <c r="E7" s="57" t="s">
        <v>24</v>
      </c>
      <c r="F7" s="57" t="s">
        <v>24</v>
      </c>
      <c r="G7" s="75" t="s">
        <v>25</v>
      </c>
      <c r="H7" s="76">
        <v>536</v>
      </c>
      <c r="I7" s="76">
        <v>4.9390000000000001</v>
      </c>
      <c r="J7" s="76">
        <v>57.29</v>
      </c>
      <c r="K7" s="76">
        <v>8501.11</v>
      </c>
      <c r="L7" s="61" t="s">
        <v>25</v>
      </c>
      <c r="M7" s="61">
        <v>555</v>
      </c>
      <c r="N7" s="61">
        <v>4859.08</v>
      </c>
      <c r="O7" s="61">
        <v>82.11</v>
      </c>
      <c r="P7" s="61">
        <v>6048.39</v>
      </c>
      <c r="Q7" s="77">
        <f>K7/P7</f>
        <v>1.4055161786855677</v>
      </c>
      <c r="R7" s="63">
        <v>31</v>
      </c>
      <c r="S7" s="18">
        <v>1.8080000000000001</v>
      </c>
      <c r="T7" s="19">
        <v>27.97</v>
      </c>
      <c r="U7" s="19">
        <v>973.71</v>
      </c>
      <c r="V7" s="42">
        <f t="shared" si="1"/>
        <v>8.7306384857914576</v>
      </c>
      <c r="W7" s="9"/>
      <c r="X7" s="57">
        <v>555</v>
      </c>
      <c r="Y7" s="58">
        <v>4859.08</v>
      </c>
      <c r="Z7" s="58">
        <v>82.11</v>
      </c>
      <c r="AA7" s="58">
        <v>6048.39</v>
      </c>
    </row>
    <row r="8" spans="1:29">
      <c r="A8" s="60" t="s">
        <v>30</v>
      </c>
      <c r="B8" s="60"/>
      <c r="C8" s="74">
        <v>185</v>
      </c>
      <c r="D8" s="60" t="s">
        <v>120</v>
      </c>
      <c r="E8" s="57" t="s">
        <v>24</v>
      </c>
      <c r="F8" s="57" t="s">
        <v>24</v>
      </c>
      <c r="G8" s="75" t="s">
        <v>25</v>
      </c>
      <c r="H8" s="76">
        <v>96</v>
      </c>
      <c r="I8" s="76">
        <v>3.883</v>
      </c>
      <c r="J8" s="76">
        <v>98.55</v>
      </c>
      <c r="K8" s="76">
        <v>916.83</v>
      </c>
      <c r="L8" s="61" t="s">
        <v>25</v>
      </c>
      <c r="M8" s="61">
        <v>200</v>
      </c>
      <c r="N8" s="61">
        <v>4937.9799999999996</v>
      </c>
      <c r="O8" s="61">
        <v>94.13</v>
      </c>
      <c r="P8" s="61">
        <v>1917.47</v>
      </c>
      <c r="Q8" s="77">
        <f t="shared" si="0"/>
        <v>0.47814568154912462</v>
      </c>
      <c r="R8" s="63">
        <v>1</v>
      </c>
      <c r="S8" s="18">
        <v>0.38400000000000001</v>
      </c>
      <c r="T8" s="19">
        <v>73.42</v>
      </c>
      <c r="U8" s="19">
        <v>13.52</v>
      </c>
      <c r="V8" s="42">
        <f t="shared" si="1"/>
        <v>67.812869822485212</v>
      </c>
      <c r="W8" s="9"/>
      <c r="X8" s="57">
        <v>200</v>
      </c>
      <c r="Y8" s="58">
        <v>4937.9799999999996</v>
      </c>
      <c r="Z8" s="58">
        <v>94.13</v>
      </c>
      <c r="AA8" s="58">
        <v>1917.47</v>
      </c>
      <c r="AB8" s="82" t="s">
        <v>226</v>
      </c>
      <c r="AC8" s="82" t="s">
        <v>324</v>
      </c>
    </row>
    <row r="9" spans="1:29">
      <c r="A9" s="60" t="s">
        <v>31</v>
      </c>
      <c r="B9" s="60"/>
      <c r="C9" s="74">
        <v>185</v>
      </c>
      <c r="D9" s="60" t="s">
        <v>121</v>
      </c>
      <c r="E9" s="57" t="s">
        <v>24</v>
      </c>
      <c r="F9" s="57" t="s">
        <v>24</v>
      </c>
      <c r="G9" s="78" t="s">
        <v>122</v>
      </c>
      <c r="H9" s="78">
        <v>1</v>
      </c>
      <c r="I9" s="79">
        <v>6.2409999999999997</v>
      </c>
      <c r="J9" s="79">
        <v>603.14</v>
      </c>
      <c r="K9" s="79">
        <v>1.64</v>
      </c>
      <c r="L9" s="61" t="s">
        <v>34</v>
      </c>
      <c r="M9" s="61">
        <v>1</v>
      </c>
      <c r="N9" s="61">
        <v>1693.11</v>
      </c>
      <c r="O9" s="61">
        <v>123.14</v>
      </c>
      <c r="P9" s="61">
        <v>8.02</v>
      </c>
      <c r="Q9" s="77">
        <f t="shared" si="0"/>
        <v>0.20448877805486285</v>
      </c>
      <c r="R9" s="64">
        <v>1</v>
      </c>
      <c r="S9" s="21">
        <v>6.726</v>
      </c>
      <c r="T9" s="21">
        <v>604.42999999999995</v>
      </c>
      <c r="U9" s="22">
        <v>3.27</v>
      </c>
      <c r="V9" s="55">
        <f t="shared" si="1"/>
        <v>0.50152905198776754</v>
      </c>
      <c r="W9" s="9"/>
      <c r="X9" s="57">
        <v>1</v>
      </c>
      <c r="Y9" s="57">
        <v>1693.11</v>
      </c>
      <c r="Z9" s="58">
        <v>123.14</v>
      </c>
      <c r="AA9" s="58">
        <v>8.02</v>
      </c>
    </row>
    <row r="10" spans="1:29">
      <c r="A10" s="60" t="s">
        <v>36</v>
      </c>
      <c r="B10" s="60">
        <v>1</v>
      </c>
      <c r="C10" s="74">
        <v>185</v>
      </c>
      <c r="D10" s="60" t="s">
        <v>123</v>
      </c>
      <c r="E10" s="57" t="s">
        <v>24</v>
      </c>
      <c r="F10" s="57" t="s">
        <v>24</v>
      </c>
      <c r="G10" s="78" t="s">
        <v>122</v>
      </c>
      <c r="H10" s="78">
        <v>1</v>
      </c>
      <c r="I10" s="78">
        <v>12.443</v>
      </c>
      <c r="J10" s="78">
        <v>2129.44</v>
      </c>
      <c r="K10" s="78">
        <v>0.47</v>
      </c>
      <c r="L10" s="62" t="s">
        <v>34</v>
      </c>
      <c r="M10" s="62">
        <v>2</v>
      </c>
      <c r="N10" s="62">
        <v>1.2949999999999999</v>
      </c>
      <c r="O10" s="62">
        <v>97.04</v>
      </c>
      <c r="P10" s="62">
        <v>20.36</v>
      </c>
      <c r="Q10" s="77">
        <f>K10/P10</f>
        <v>2.3084479371316306E-2</v>
      </c>
      <c r="R10" s="65"/>
      <c r="S10" s="24" t="s">
        <v>124</v>
      </c>
      <c r="T10" s="25"/>
      <c r="U10" s="25"/>
      <c r="V10" s="42" t="e">
        <f t="shared" si="1"/>
        <v>#DIV/0!</v>
      </c>
      <c r="W10" s="9"/>
      <c r="X10" s="269" t="s">
        <v>227</v>
      </c>
      <c r="Y10" s="269"/>
      <c r="Z10" s="269"/>
      <c r="AA10" s="269"/>
    </row>
    <row r="11" spans="1:29">
      <c r="A11" s="60" t="s">
        <v>40</v>
      </c>
      <c r="B11" s="60">
        <v>1</v>
      </c>
      <c r="C11" s="74" t="s">
        <v>125</v>
      </c>
      <c r="D11" s="60" t="s">
        <v>126</v>
      </c>
      <c r="E11" s="57" t="s">
        <v>24</v>
      </c>
      <c r="F11" s="57" t="s">
        <v>24</v>
      </c>
      <c r="G11" s="78" t="s">
        <v>122</v>
      </c>
      <c r="H11" s="78">
        <v>1</v>
      </c>
      <c r="I11" s="78">
        <v>111.185</v>
      </c>
      <c r="J11" s="78">
        <v>1588.35</v>
      </c>
      <c r="K11" s="78">
        <v>0.63</v>
      </c>
      <c r="L11" s="62" t="s">
        <v>34</v>
      </c>
      <c r="M11" s="62">
        <v>8</v>
      </c>
      <c r="N11" s="62">
        <v>3.7770000000000001</v>
      </c>
      <c r="O11" s="62">
        <v>98.87</v>
      </c>
      <c r="P11" s="62">
        <v>78.069999999999993</v>
      </c>
      <c r="Q11" s="77">
        <f t="shared" si="0"/>
        <v>8.069681055463046E-3</v>
      </c>
      <c r="R11" s="65"/>
      <c r="S11" s="24" t="s">
        <v>124</v>
      </c>
      <c r="T11" s="25"/>
      <c r="U11" s="25"/>
      <c r="V11" s="42" t="e">
        <f t="shared" si="1"/>
        <v>#DIV/0!</v>
      </c>
      <c r="W11" s="9"/>
      <c r="X11" s="269" t="s">
        <v>227</v>
      </c>
      <c r="Y11" s="269"/>
      <c r="Z11" s="269"/>
      <c r="AA11" s="269"/>
    </row>
    <row r="12" spans="1:29">
      <c r="A12" s="60" t="s">
        <v>42</v>
      </c>
      <c r="B12" s="60"/>
      <c r="C12" s="74" t="s">
        <v>125</v>
      </c>
      <c r="D12" s="60" t="s">
        <v>127</v>
      </c>
      <c r="E12" s="57" t="s">
        <v>24</v>
      </c>
      <c r="F12" s="57" t="s">
        <v>24</v>
      </c>
      <c r="G12" s="78" t="s">
        <v>128</v>
      </c>
      <c r="H12" s="78">
        <v>1</v>
      </c>
      <c r="I12" s="78">
        <v>3.17</v>
      </c>
      <c r="J12" s="78">
        <v>292.3</v>
      </c>
      <c r="K12" s="78">
        <v>3.39</v>
      </c>
      <c r="L12" s="61" t="s">
        <v>44</v>
      </c>
      <c r="M12" s="57">
        <v>1</v>
      </c>
      <c r="N12" s="57">
        <v>1171.8699999999999</v>
      </c>
      <c r="O12" s="57">
        <v>102.5</v>
      </c>
      <c r="P12" s="57">
        <v>9.66</v>
      </c>
      <c r="Q12" s="77">
        <f t="shared" si="0"/>
        <v>0.35093167701863354</v>
      </c>
      <c r="R12" s="65">
        <v>1</v>
      </c>
      <c r="S12" s="24">
        <v>4.1349999999999998</v>
      </c>
      <c r="T12" s="25">
        <v>307441</v>
      </c>
      <c r="U12" s="25">
        <v>3.29</v>
      </c>
      <c r="V12" s="42">
        <f t="shared" si="1"/>
        <v>1.0303951367781155</v>
      </c>
      <c r="W12" s="9"/>
      <c r="X12" s="57">
        <v>1</v>
      </c>
      <c r="Y12" s="57">
        <v>1171.8699999999999</v>
      </c>
      <c r="Z12" s="57">
        <v>102.5</v>
      </c>
      <c r="AA12" s="57">
        <v>9.66</v>
      </c>
    </row>
    <row r="13" spans="1:29">
      <c r="A13" s="60" t="s">
        <v>46</v>
      </c>
      <c r="B13" s="60"/>
      <c r="C13" s="74" t="s">
        <v>125</v>
      </c>
      <c r="D13" s="60" t="s">
        <v>130</v>
      </c>
      <c r="E13" s="57" t="s">
        <v>24</v>
      </c>
      <c r="F13" s="57" t="s">
        <v>24</v>
      </c>
      <c r="G13" s="78" t="s">
        <v>122</v>
      </c>
      <c r="H13" s="78">
        <v>1</v>
      </c>
      <c r="I13" s="78">
        <v>3.3690000000000002</v>
      </c>
      <c r="J13" s="78">
        <v>248.89</v>
      </c>
      <c r="K13" s="78">
        <v>3.97</v>
      </c>
      <c r="L13" s="61" t="s">
        <v>34</v>
      </c>
      <c r="M13" s="57">
        <v>2</v>
      </c>
      <c r="N13" s="57">
        <v>1752.57</v>
      </c>
      <c r="O13" s="57">
        <v>83.59</v>
      </c>
      <c r="P13" s="57">
        <v>23.46</v>
      </c>
      <c r="Q13" s="77">
        <f t="shared" si="0"/>
        <v>0.16922421142369992</v>
      </c>
      <c r="R13" s="65">
        <v>1</v>
      </c>
      <c r="S13" s="24">
        <v>3.5310000000000001</v>
      </c>
      <c r="T13" s="25">
        <v>247.66</v>
      </c>
      <c r="U13" s="25">
        <v>7.98</v>
      </c>
      <c r="V13" s="55">
        <f t="shared" si="1"/>
        <v>0.4974937343358396</v>
      </c>
      <c r="W13" s="9"/>
      <c r="X13" s="57">
        <v>2</v>
      </c>
      <c r="Y13" s="57">
        <v>1752.57</v>
      </c>
      <c r="Z13" s="57">
        <v>83.59</v>
      </c>
      <c r="AA13" s="57">
        <v>23.46</v>
      </c>
    </row>
    <row r="14" spans="1:29">
      <c r="A14" s="60" t="s">
        <v>47</v>
      </c>
      <c r="B14" s="60"/>
      <c r="C14" s="74">
        <v>185</v>
      </c>
      <c r="D14" s="60" t="s">
        <v>132</v>
      </c>
      <c r="E14" s="57" t="s">
        <v>24</v>
      </c>
      <c r="F14" s="57" t="s">
        <v>24</v>
      </c>
      <c r="G14" s="78" t="s">
        <v>128</v>
      </c>
      <c r="H14" s="78" t="s">
        <v>49</v>
      </c>
      <c r="I14" s="78" t="s">
        <v>49</v>
      </c>
      <c r="J14" s="78" t="s">
        <v>49</v>
      </c>
      <c r="K14" s="78"/>
      <c r="L14" s="62" t="s">
        <v>44</v>
      </c>
      <c r="M14" s="62">
        <v>8</v>
      </c>
      <c r="N14" s="62">
        <v>4.8209999999999997</v>
      </c>
      <c r="O14" s="62">
        <v>59.2</v>
      </c>
      <c r="P14" s="62">
        <v>125.27</v>
      </c>
      <c r="Q14" s="77">
        <f t="shared" si="0"/>
        <v>0</v>
      </c>
      <c r="R14" s="65"/>
      <c r="S14" s="24" t="s">
        <v>49</v>
      </c>
      <c r="T14" s="25"/>
      <c r="U14" s="25"/>
      <c r="V14" s="42" t="e">
        <f t="shared" si="1"/>
        <v>#DIV/0!</v>
      </c>
      <c r="W14" s="9"/>
      <c r="X14" s="269" t="s">
        <v>228</v>
      </c>
      <c r="Y14" s="269"/>
      <c r="Z14" s="269"/>
      <c r="AA14" s="269"/>
    </row>
    <row r="15" spans="1:29">
      <c r="A15" s="60" t="s">
        <v>51</v>
      </c>
      <c r="B15" s="60"/>
      <c r="C15" s="74">
        <v>185</v>
      </c>
      <c r="D15" s="60" t="s">
        <v>133</v>
      </c>
      <c r="E15" s="57" t="s">
        <v>24</v>
      </c>
      <c r="F15" s="57" t="s">
        <v>24</v>
      </c>
      <c r="G15" s="75" t="s">
        <v>25</v>
      </c>
      <c r="H15" s="75">
        <v>136</v>
      </c>
      <c r="I15" s="75">
        <v>3.6230000000000002</v>
      </c>
      <c r="J15" s="75">
        <v>99.5</v>
      </c>
      <c r="K15" s="75">
        <v>1318.21</v>
      </c>
      <c r="L15" s="62" t="s">
        <v>25</v>
      </c>
      <c r="M15" s="62">
        <v>640</v>
      </c>
      <c r="N15" s="62">
        <v>3.4249999999999998</v>
      </c>
      <c r="O15" s="62">
        <v>99.81</v>
      </c>
      <c r="P15" s="62">
        <v>5575.87</v>
      </c>
      <c r="Q15" s="77">
        <f t="shared" si="0"/>
        <v>0.2364133310138149</v>
      </c>
      <c r="R15" s="66">
        <v>26</v>
      </c>
      <c r="S15" s="17">
        <v>0.74</v>
      </c>
      <c r="T15" s="28">
        <v>29.51</v>
      </c>
      <c r="U15" s="28">
        <v>758.29</v>
      </c>
      <c r="V15" s="55">
        <f t="shared" si="1"/>
        <v>1.7383982381410807</v>
      </c>
      <c r="W15" s="9"/>
      <c r="X15" s="269" t="s">
        <v>229</v>
      </c>
      <c r="Y15" s="269"/>
      <c r="Z15" s="269"/>
      <c r="AA15" s="269"/>
      <c r="AB15" s="82" t="s">
        <v>325</v>
      </c>
      <c r="AC15" s="82" t="s">
        <v>326</v>
      </c>
    </row>
    <row r="16" spans="1:29">
      <c r="A16" s="60" t="s">
        <v>52</v>
      </c>
      <c r="B16" s="60"/>
      <c r="C16" s="74" t="s">
        <v>125</v>
      </c>
      <c r="D16" s="60" t="s">
        <v>134</v>
      </c>
      <c r="E16" s="57" t="s">
        <v>24</v>
      </c>
      <c r="F16" s="57" t="s">
        <v>24</v>
      </c>
      <c r="G16" s="75" t="s">
        <v>25</v>
      </c>
      <c r="H16" s="75">
        <v>16</v>
      </c>
      <c r="I16" s="75">
        <v>4.548</v>
      </c>
      <c r="J16" s="75">
        <v>53.34</v>
      </c>
      <c r="K16" s="75">
        <v>277.14</v>
      </c>
      <c r="L16" s="62" t="s">
        <v>25</v>
      </c>
      <c r="M16" s="62">
        <v>152</v>
      </c>
      <c r="N16" s="62">
        <v>4.9870000000000001</v>
      </c>
      <c r="O16" s="62">
        <v>84.07</v>
      </c>
      <c r="P16" s="62">
        <v>1600.89</v>
      </c>
      <c r="Q16" s="77">
        <f t="shared" si="0"/>
        <v>0.17311620411146297</v>
      </c>
      <c r="R16" s="66">
        <v>21</v>
      </c>
      <c r="S16" s="17">
        <v>4.3019999999999996</v>
      </c>
      <c r="T16" s="28">
        <v>71.06</v>
      </c>
      <c r="U16" s="28">
        <v>278.36</v>
      </c>
      <c r="V16" s="42">
        <f t="shared" si="1"/>
        <v>0.99561718637735297</v>
      </c>
      <c r="W16" s="9"/>
      <c r="X16" s="269" t="s">
        <v>230</v>
      </c>
      <c r="Y16" s="269"/>
      <c r="Z16" s="269"/>
      <c r="AA16" s="269"/>
      <c r="AB16" s="82" t="s">
        <v>327</v>
      </c>
      <c r="AC16" s="82" t="s">
        <v>328</v>
      </c>
    </row>
    <row r="17" spans="1:29">
      <c r="A17" s="60" t="s">
        <v>54</v>
      </c>
      <c r="B17" s="60"/>
      <c r="C17" s="74">
        <v>185</v>
      </c>
      <c r="D17" s="60" t="s">
        <v>135</v>
      </c>
      <c r="E17" s="57" t="s">
        <v>24</v>
      </c>
      <c r="F17" s="57" t="s">
        <v>24</v>
      </c>
      <c r="G17" s="78" t="s">
        <v>128</v>
      </c>
      <c r="H17" s="78">
        <v>1</v>
      </c>
      <c r="I17" s="78">
        <v>8.4559999999999995</v>
      </c>
      <c r="J17" s="78">
        <v>1122.23</v>
      </c>
      <c r="K17" s="78">
        <v>0.89</v>
      </c>
      <c r="L17" s="62" t="s">
        <v>44</v>
      </c>
      <c r="M17" s="62">
        <v>22</v>
      </c>
      <c r="N17" s="62">
        <v>1.806</v>
      </c>
      <c r="O17" s="62">
        <v>99.77</v>
      </c>
      <c r="P17" s="62">
        <v>210.46</v>
      </c>
      <c r="Q17" s="77">
        <f t="shared" si="0"/>
        <v>4.228832082105863E-3</v>
      </c>
      <c r="R17" s="65">
        <v>1</v>
      </c>
      <c r="S17" s="24">
        <v>1.4550000000000001</v>
      </c>
      <c r="T17" s="25">
        <v>130.31</v>
      </c>
      <c r="U17" s="25">
        <v>15.2</v>
      </c>
      <c r="V17" s="55">
        <f t="shared" si="1"/>
        <v>5.855263157894737E-2</v>
      </c>
      <c r="W17" s="9"/>
      <c r="X17" s="269" t="s">
        <v>231</v>
      </c>
      <c r="Y17" s="269"/>
      <c r="Z17" s="269"/>
      <c r="AA17" s="269"/>
      <c r="AC17" s="82"/>
    </row>
    <row r="18" spans="1:29">
      <c r="A18" s="60" t="s">
        <v>57</v>
      </c>
      <c r="B18" s="60"/>
      <c r="C18" s="74" t="s">
        <v>125</v>
      </c>
      <c r="D18" s="60" t="s">
        <v>138</v>
      </c>
      <c r="E18" s="57" t="s">
        <v>24</v>
      </c>
      <c r="F18" s="57" t="s">
        <v>24</v>
      </c>
      <c r="G18" s="75" t="s">
        <v>25</v>
      </c>
      <c r="H18" s="75">
        <v>16</v>
      </c>
      <c r="I18" s="75">
        <v>1.833</v>
      </c>
      <c r="J18" s="75">
        <v>98.61</v>
      </c>
      <c r="K18" s="75">
        <v>156.93</v>
      </c>
      <c r="L18" s="61" t="s">
        <v>25</v>
      </c>
      <c r="M18" s="57">
        <v>73</v>
      </c>
      <c r="N18" s="57">
        <v>2721.22</v>
      </c>
      <c r="O18" s="57">
        <v>98.65</v>
      </c>
      <c r="P18" s="57">
        <v>686.11</v>
      </c>
      <c r="Q18" s="77">
        <f t="shared" si="0"/>
        <v>0.22872425704333124</v>
      </c>
      <c r="R18" s="66">
        <v>1</v>
      </c>
      <c r="S18" s="17">
        <v>1.056</v>
      </c>
      <c r="T18" s="28">
        <v>93.69</v>
      </c>
      <c r="U18" s="28">
        <v>10.98</v>
      </c>
      <c r="V18" s="42">
        <f t="shared" si="1"/>
        <v>14.292349726775956</v>
      </c>
      <c r="W18" s="9"/>
      <c r="X18" s="57">
        <v>73</v>
      </c>
      <c r="Y18" s="58">
        <v>2721.22</v>
      </c>
      <c r="Z18" s="57">
        <v>98.65</v>
      </c>
      <c r="AA18" s="57">
        <v>686.11</v>
      </c>
      <c r="AB18" s="27" t="s">
        <v>232</v>
      </c>
      <c r="AC18" s="82" t="s">
        <v>328</v>
      </c>
    </row>
    <row r="19" spans="1:29">
      <c r="A19" s="60" t="s">
        <v>58</v>
      </c>
      <c r="B19" s="60"/>
      <c r="C19" s="74">
        <v>185</v>
      </c>
      <c r="D19" s="60" t="s">
        <v>139</v>
      </c>
      <c r="E19" s="57" t="s">
        <v>24</v>
      </c>
      <c r="F19" s="57" t="s">
        <v>24</v>
      </c>
      <c r="G19" s="78" t="s">
        <v>128</v>
      </c>
      <c r="H19" s="78">
        <v>1</v>
      </c>
      <c r="I19" s="78">
        <v>1.4179999999999999</v>
      </c>
      <c r="J19" s="78">
        <v>129.6</v>
      </c>
      <c r="K19" s="78">
        <v>7.64</v>
      </c>
      <c r="L19" s="61" t="s">
        <v>44</v>
      </c>
      <c r="M19" s="57">
        <v>15</v>
      </c>
      <c r="N19" s="57">
        <v>4890.55</v>
      </c>
      <c r="O19" s="57">
        <v>71.680000000000007</v>
      </c>
      <c r="P19" s="57">
        <v>196.35</v>
      </c>
      <c r="Q19" s="77">
        <f t="shared" si="0"/>
        <v>3.8910109498344794E-2</v>
      </c>
      <c r="R19" s="65">
        <v>1</v>
      </c>
      <c r="S19" s="24">
        <v>1.762</v>
      </c>
      <c r="T19" s="25">
        <v>207.64</v>
      </c>
      <c r="U19" s="25">
        <v>11.92</v>
      </c>
      <c r="V19" s="55">
        <f t="shared" si="1"/>
        <v>0.64093959731543626</v>
      </c>
      <c r="W19" s="9"/>
      <c r="X19" s="57">
        <v>15</v>
      </c>
      <c r="Y19" s="57">
        <v>4890.55</v>
      </c>
      <c r="Z19" s="57">
        <v>71.680000000000007</v>
      </c>
      <c r="AA19" s="57">
        <v>196.35</v>
      </c>
    </row>
    <row r="20" spans="1:29">
      <c r="A20" s="60" t="s">
        <v>59</v>
      </c>
      <c r="B20" s="60">
        <v>1</v>
      </c>
      <c r="C20" s="74">
        <v>185</v>
      </c>
      <c r="D20" s="60" t="s">
        <v>141</v>
      </c>
      <c r="E20" s="57" t="s">
        <v>24</v>
      </c>
      <c r="F20" s="57" t="s">
        <v>24</v>
      </c>
      <c r="G20" s="75" t="s">
        <v>25</v>
      </c>
      <c r="H20" s="75">
        <v>11</v>
      </c>
      <c r="I20" s="75">
        <v>2.9359999999999999</v>
      </c>
      <c r="J20" s="75">
        <v>96.19</v>
      </c>
      <c r="K20" s="75">
        <v>111.13</v>
      </c>
      <c r="L20" s="62" t="s">
        <v>25</v>
      </c>
      <c r="M20" s="62">
        <v>89</v>
      </c>
      <c r="N20" s="62">
        <v>4.9489999999999998</v>
      </c>
      <c r="O20" s="62">
        <v>85.14</v>
      </c>
      <c r="P20" s="62">
        <v>546.47</v>
      </c>
      <c r="Q20" s="77">
        <f t="shared" si="0"/>
        <v>0.20335974527421449</v>
      </c>
      <c r="R20" s="66">
        <v>11</v>
      </c>
      <c r="S20" s="17">
        <v>2.399</v>
      </c>
      <c r="T20" s="28">
        <v>96.16</v>
      </c>
      <c r="U20" s="28">
        <v>111.54</v>
      </c>
      <c r="V20" s="55">
        <f t="shared" si="1"/>
        <v>0.99632418863188088</v>
      </c>
      <c r="W20" s="9"/>
      <c r="X20" s="269" t="s">
        <v>233</v>
      </c>
      <c r="Y20" s="269"/>
      <c r="Z20" s="269"/>
      <c r="AA20" s="269"/>
      <c r="AB20" s="82" t="s">
        <v>325</v>
      </c>
      <c r="AC20" s="82" t="s">
        <v>329</v>
      </c>
    </row>
    <row r="21" spans="1:29">
      <c r="A21" s="60" t="s">
        <v>60</v>
      </c>
      <c r="B21" s="60"/>
      <c r="C21" s="74">
        <v>185</v>
      </c>
      <c r="D21" s="60" t="s">
        <v>142</v>
      </c>
      <c r="E21" s="57" t="s">
        <v>24</v>
      </c>
      <c r="F21" s="57" t="s">
        <v>24</v>
      </c>
      <c r="G21" s="78" t="s">
        <v>128</v>
      </c>
      <c r="H21" s="78">
        <v>1</v>
      </c>
      <c r="I21" s="78">
        <v>1.3089999999999999</v>
      </c>
      <c r="J21" s="78">
        <v>130.72999999999999</v>
      </c>
      <c r="K21" s="78">
        <v>7.58</v>
      </c>
      <c r="L21" s="61" t="s">
        <v>44</v>
      </c>
      <c r="M21" s="57">
        <v>15</v>
      </c>
      <c r="N21" s="57">
        <v>4775.6099999999997</v>
      </c>
      <c r="O21" s="57">
        <v>67.349999999999994</v>
      </c>
      <c r="P21" s="57">
        <v>208.42</v>
      </c>
      <c r="Q21" s="77">
        <f t="shared" si="0"/>
        <v>3.6368870549851266E-2</v>
      </c>
      <c r="R21" s="65">
        <v>1</v>
      </c>
      <c r="S21" s="24">
        <v>1.7370000000000001</v>
      </c>
      <c r="T21" s="25">
        <v>141</v>
      </c>
      <c r="U21" s="25">
        <v>14.03</v>
      </c>
      <c r="V21" s="55">
        <f t="shared" si="1"/>
        <v>0.54027084818246618</v>
      </c>
      <c r="W21" s="9"/>
      <c r="X21" s="57">
        <v>15</v>
      </c>
      <c r="Y21" s="57">
        <v>4775.6099999999997</v>
      </c>
      <c r="Z21" s="57">
        <v>67.349999999999994</v>
      </c>
      <c r="AA21" s="57">
        <v>208.42</v>
      </c>
    </row>
    <row r="22" spans="1:29">
      <c r="A22" s="60" t="s">
        <v>61</v>
      </c>
      <c r="B22" s="60"/>
      <c r="C22" s="74">
        <v>185</v>
      </c>
      <c r="D22" s="60" t="s">
        <v>143</v>
      </c>
      <c r="E22" s="57" t="s">
        <v>24</v>
      </c>
      <c r="F22" s="57" t="s">
        <v>24</v>
      </c>
      <c r="G22" s="75" t="s">
        <v>128</v>
      </c>
      <c r="H22" s="76">
        <v>16</v>
      </c>
      <c r="I22" s="76">
        <v>2.6</v>
      </c>
      <c r="J22" s="76">
        <v>90.87</v>
      </c>
      <c r="K22" s="76">
        <v>158.08000000000001</v>
      </c>
      <c r="L22" s="61" t="s">
        <v>44</v>
      </c>
      <c r="M22" s="57">
        <v>19</v>
      </c>
      <c r="N22" s="57">
        <v>2898.24</v>
      </c>
      <c r="O22" s="57">
        <v>99.37</v>
      </c>
      <c r="P22" s="57">
        <v>186.06</v>
      </c>
      <c r="Q22" s="77">
        <f t="shared" si="0"/>
        <v>0.84961840266580679</v>
      </c>
      <c r="R22" s="30">
        <v>11</v>
      </c>
      <c r="S22" s="30">
        <v>2.6930000000000001</v>
      </c>
      <c r="T22" s="30">
        <v>90.66</v>
      </c>
      <c r="U22" s="19">
        <v>112.89</v>
      </c>
      <c r="V22" s="42">
        <f t="shared" si="1"/>
        <v>1.4003011781380106</v>
      </c>
      <c r="W22" s="9"/>
      <c r="X22" s="57">
        <v>19</v>
      </c>
      <c r="Y22" s="57">
        <v>2898.24</v>
      </c>
      <c r="Z22" s="57">
        <v>99.37</v>
      </c>
      <c r="AA22" s="57">
        <v>186.06</v>
      </c>
    </row>
    <row r="23" spans="1:29">
      <c r="A23" s="60" t="s">
        <v>63</v>
      </c>
      <c r="B23" s="60"/>
      <c r="C23" s="74">
        <v>185</v>
      </c>
      <c r="D23" s="60" t="s">
        <v>144</v>
      </c>
      <c r="E23" s="57" t="s">
        <v>24</v>
      </c>
      <c r="F23" s="57" t="s">
        <v>24</v>
      </c>
      <c r="G23" s="75" t="s">
        <v>128</v>
      </c>
      <c r="H23" s="75">
        <v>6</v>
      </c>
      <c r="I23" s="75">
        <v>1.246</v>
      </c>
      <c r="J23" s="75">
        <v>86.2</v>
      </c>
      <c r="K23" s="75">
        <v>65.11</v>
      </c>
      <c r="L23" s="62" t="s">
        <v>44</v>
      </c>
      <c r="M23" s="62">
        <v>23</v>
      </c>
      <c r="N23" s="62">
        <v>1.899</v>
      </c>
      <c r="O23" s="62">
        <v>98.89</v>
      </c>
      <c r="P23" s="62">
        <v>228.5</v>
      </c>
      <c r="Q23" s="77">
        <f t="shared" si="0"/>
        <v>0.284945295404814</v>
      </c>
      <c r="R23" s="65">
        <v>1</v>
      </c>
      <c r="S23" s="24">
        <v>0.64700000000000002</v>
      </c>
      <c r="T23" s="25">
        <v>4129</v>
      </c>
      <c r="U23" s="25">
        <v>16.62</v>
      </c>
      <c r="V23" s="42">
        <f t="shared" si="1"/>
        <v>3.9175691937424788</v>
      </c>
      <c r="W23" s="9"/>
      <c r="X23" s="269" t="s">
        <v>234</v>
      </c>
      <c r="Y23" s="269"/>
      <c r="Z23" s="269"/>
      <c r="AA23" s="269"/>
    </row>
    <row r="24" spans="1:29">
      <c r="A24" s="60" t="s">
        <v>146</v>
      </c>
      <c r="B24" s="60"/>
      <c r="C24" s="74">
        <v>185</v>
      </c>
      <c r="D24" s="60" t="s">
        <v>147</v>
      </c>
      <c r="E24" s="57" t="s">
        <v>24</v>
      </c>
      <c r="F24" s="57" t="s">
        <v>24</v>
      </c>
      <c r="G24" s="80" t="s">
        <v>148</v>
      </c>
      <c r="H24" s="80"/>
      <c r="I24" s="80"/>
      <c r="J24" s="80"/>
      <c r="K24" s="80"/>
      <c r="L24" s="81" t="s">
        <v>34</v>
      </c>
      <c r="M24" s="57">
        <v>30</v>
      </c>
      <c r="N24" s="57">
        <v>3.895</v>
      </c>
      <c r="O24" s="57">
        <v>99.12</v>
      </c>
      <c r="P24" s="57">
        <v>291.7</v>
      </c>
      <c r="Q24" s="77">
        <f t="shared" si="0"/>
        <v>0</v>
      </c>
      <c r="R24" s="67"/>
      <c r="S24" s="31"/>
      <c r="T24" s="32"/>
      <c r="U24" s="32"/>
      <c r="V24" s="42"/>
      <c r="W24" s="9"/>
      <c r="X24" s="269" t="s">
        <v>234</v>
      </c>
      <c r="Y24" s="269"/>
      <c r="Z24" s="269"/>
      <c r="AA24" s="269"/>
    </row>
    <row r="25" spans="1:29">
      <c r="A25" s="60" t="s">
        <v>149</v>
      </c>
      <c r="B25" s="60"/>
      <c r="C25" s="74">
        <v>185</v>
      </c>
      <c r="D25" s="60" t="s">
        <v>150</v>
      </c>
      <c r="E25" s="57" t="s">
        <v>24</v>
      </c>
      <c r="F25" s="57" t="s">
        <v>24</v>
      </c>
      <c r="G25" s="80" t="s">
        <v>148</v>
      </c>
      <c r="H25" s="80"/>
      <c r="I25" s="80"/>
      <c r="J25" s="80"/>
      <c r="K25" s="80"/>
      <c r="L25" s="61" t="s">
        <v>44</v>
      </c>
      <c r="M25" s="57">
        <v>23</v>
      </c>
      <c r="N25" s="57">
        <v>2.02</v>
      </c>
      <c r="O25" s="57">
        <v>98.57</v>
      </c>
      <c r="P25" s="57">
        <v>228.94</v>
      </c>
      <c r="Q25" s="77">
        <f t="shared" si="0"/>
        <v>0</v>
      </c>
      <c r="R25" s="67"/>
      <c r="S25" s="31"/>
      <c r="T25" s="32"/>
      <c r="U25" s="32"/>
      <c r="V25" s="42"/>
      <c r="W25" s="9"/>
      <c r="X25" s="269" t="s">
        <v>234</v>
      </c>
      <c r="Y25" s="269"/>
      <c r="Z25" s="269"/>
      <c r="AA25" s="269"/>
    </row>
    <row r="26" spans="1:29">
      <c r="A26" s="60" t="s">
        <v>67</v>
      </c>
      <c r="B26" s="60"/>
      <c r="C26" s="74" t="s">
        <v>125</v>
      </c>
      <c r="D26" s="60" t="s">
        <v>151</v>
      </c>
      <c r="E26" s="57" t="s">
        <v>24</v>
      </c>
      <c r="F26" s="57" t="s">
        <v>24</v>
      </c>
      <c r="G26" s="75" t="s">
        <v>25</v>
      </c>
      <c r="H26" s="75">
        <v>336</v>
      </c>
      <c r="I26" s="75">
        <v>4.9219999999999997</v>
      </c>
      <c r="J26" s="75">
        <v>84.76</v>
      </c>
      <c r="K26" s="75">
        <v>3714.85</v>
      </c>
      <c r="L26" s="61" t="s">
        <v>25</v>
      </c>
      <c r="M26" s="57">
        <v>337</v>
      </c>
      <c r="N26" s="57">
        <v>2742.64</v>
      </c>
      <c r="O26" s="57">
        <v>96.42</v>
      </c>
      <c r="P26" s="57">
        <v>3176.94</v>
      </c>
      <c r="Q26" s="77">
        <f t="shared" si="0"/>
        <v>1.1693170157447104</v>
      </c>
      <c r="R26" s="66">
        <v>16</v>
      </c>
      <c r="S26" s="17">
        <v>1.397</v>
      </c>
      <c r="T26" s="28">
        <v>32.700000000000003</v>
      </c>
      <c r="U26" s="28">
        <v>398.1</v>
      </c>
      <c r="V26" s="42">
        <f t="shared" ref="V26:V33" si="2">K26/U26</f>
        <v>9.3314493845767394</v>
      </c>
      <c r="W26" s="9"/>
      <c r="X26" s="57">
        <v>337</v>
      </c>
      <c r="Y26" s="57">
        <v>2742.64</v>
      </c>
      <c r="Z26" s="57">
        <v>96.42</v>
      </c>
      <c r="AA26" s="57">
        <v>3176.94</v>
      </c>
    </row>
    <row r="27" spans="1:29">
      <c r="A27" s="60" t="s">
        <v>68</v>
      </c>
      <c r="B27" s="60"/>
      <c r="C27" s="74" t="s">
        <v>125</v>
      </c>
      <c r="D27" s="60" t="s">
        <v>152</v>
      </c>
      <c r="E27" s="57" t="s">
        <v>24</v>
      </c>
      <c r="F27" s="57" t="s">
        <v>24</v>
      </c>
      <c r="G27" s="75" t="s">
        <v>25</v>
      </c>
      <c r="H27" s="75">
        <v>86</v>
      </c>
      <c r="I27" s="75">
        <v>4.9210000000000003</v>
      </c>
      <c r="J27" s="75">
        <v>58.66</v>
      </c>
      <c r="K27" s="75">
        <v>1337.94</v>
      </c>
      <c r="L27" s="61" t="s">
        <v>25</v>
      </c>
      <c r="M27" s="57">
        <v>177</v>
      </c>
      <c r="N27" s="57">
        <v>3444.43</v>
      </c>
      <c r="O27" s="57">
        <v>95.42</v>
      </c>
      <c r="P27" s="57">
        <v>1690.97</v>
      </c>
      <c r="Q27" s="77">
        <f t="shared" si="0"/>
        <v>0.79122633754590566</v>
      </c>
      <c r="R27" s="66">
        <v>16</v>
      </c>
      <c r="S27" s="17">
        <v>3.7509999999999999</v>
      </c>
      <c r="T27" s="28">
        <v>61.5</v>
      </c>
      <c r="U27" s="28">
        <v>245.11</v>
      </c>
      <c r="V27" s="42">
        <f t="shared" si="2"/>
        <v>5.4585288237933991</v>
      </c>
      <c r="W27" s="9"/>
      <c r="X27" s="57">
        <v>177</v>
      </c>
      <c r="Y27" s="59">
        <v>3444.43</v>
      </c>
      <c r="Z27" s="59">
        <v>95.42</v>
      </c>
      <c r="AA27" s="59">
        <v>1690.97</v>
      </c>
      <c r="AB27" s="27" t="s">
        <v>232</v>
      </c>
      <c r="AC27" s="82" t="s">
        <v>330</v>
      </c>
    </row>
    <row r="28" spans="1:29">
      <c r="A28" s="60" t="s">
        <v>69</v>
      </c>
      <c r="B28" s="60"/>
      <c r="C28" s="74" t="s">
        <v>125</v>
      </c>
      <c r="D28" s="60" t="s">
        <v>153</v>
      </c>
      <c r="E28" s="57" t="s">
        <v>24</v>
      </c>
      <c r="F28" s="57" t="s">
        <v>24</v>
      </c>
      <c r="G28" s="75" t="s">
        <v>25</v>
      </c>
      <c r="H28" s="75">
        <v>46</v>
      </c>
      <c r="I28" s="75">
        <v>4.8659999999999997</v>
      </c>
      <c r="J28" s="75">
        <v>87.75</v>
      </c>
      <c r="K28" s="75">
        <v>493.07</v>
      </c>
      <c r="L28" s="61" t="s">
        <v>25</v>
      </c>
      <c r="M28" s="57">
        <v>138</v>
      </c>
      <c r="N28" s="57">
        <v>4278.04</v>
      </c>
      <c r="O28" s="57">
        <v>98.52</v>
      </c>
      <c r="P28" s="57">
        <v>1278.75</v>
      </c>
      <c r="Q28" s="77">
        <f t="shared" si="0"/>
        <v>0.38558748778103619</v>
      </c>
      <c r="R28" s="68">
        <v>11</v>
      </c>
      <c r="S28" s="34">
        <v>4.4720000000000004</v>
      </c>
      <c r="T28" s="35">
        <v>90.48</v>
      </c>
      <c r="U28" s="28">
        <v>113.94</v>
      </c>
      <c r="V28" s="42">
        <f t="shared" si="2"/>
        <v>4.3274530454625237</v>
      </c>
      <c r="W28" s="9"/>
      <c r="X28" s="57">
        <v>138</v>
      </c>
      <c r="Y28" s="58">
        <v>4278.04</v>
      </c>
      <c r="Z28" s="58">
        <v>98.52</v>
      </c>
      <c r="AA28" s="57">
        <v>1278.75</v>
      </c>
      <c r="AB28" s="27" t="s">
        <v>232</v>
      </c>
      <c r="AC28" s="82" t="s">
        <v>330</v>
      </c>
    </row>
    <row r="29" spans="1:29">
      <c r="A29" s="60" t="s">
        <v>71</v>
      </c>
      <c r="B29" s="60"/>
      <c r="C29" s="74" t="s">
        <v>125</v>
      </c>
      <c r="D29" s="60" t="s">
        <v>154</v>
      </c>
      <c r="E29" s="57" t="s">
        <v>24</v>
      </c>
      <c r="F29" s="57" t="s">
        <v>24</v>
      </c>
      <c r="G29" s="75" t="s">
        <v>25</v>
      </c>
      <c r="H29" s="75">
        <v>51</v>
      </c>
      <c r="I29" s="75">
        <v>4.9889999999999999</v>
      </c>
      <c r="J29" s="75">
        <v>97.31</v>
      </c>
      <c r="K29" s="76">
        <v>472.58</v>
      </c>
      <c r="L29" s="62" t="s">
        <v>25</v>
      </c>
      <c r="M29" s="62">
        <v>56</v>
      </c>
      <c r="N29" s="62">
        <v>4.7450000000000001</v>
      </c>
      <c r="O29" s="62">
        <v>81.36</v>
      </c>
      <c r="P29" s="62">
        <v>476.17</v>
      </c>
      <c r="Q29" s="77">
        <f t="shared" si="0"/>
        <v>0.99246067580905972</v>
      </c>
      <c r="R29" s="66">
        <v>1</v>
      </c>
      <c r="S29" s="17">
        <v>0.76</v>
      </c>
      <c r="T29" s="28">
        <v>74.55</v>
      </c>
      <c r="U29" s="19">
        <v>13.29</v>
      </c>
      <c r="V29" s="42">
        <f t="shared" si="2"/>
        <v>35.559066967644846</v>
      </c>
      <c r="W29" s="9"/>
      <c r="X29" s="269" t="s">
        <v>230</v>
      </c>
      <c r="Y29" s="269"/>
      <c r="Z29" s="269"/>
      <c r="AA29" s="269"/>
    </row>
    <row r="30" spans="1:29">
      <c r="A30" s="60" t="s">
        <v>72</v>
      </c>
      <c r="B30" s="60"/>
      <c r="C30" s="74">
        <v>185</v>
      </c>
      <c r="D30" s="60" t="s">
        <v>155</v>
      </c>
      <c r="E30" s="57" t="s">
        <v>24</v>
      </c>
      <c r="F30" s="57" t="s">
        <v>24</v>
      </c>
      <c r="G30" s="75" t="s">
        <v>25</v>
      </c>
      <c r="H30" s="76">
        <v>46</v>
      </c>
      <c r="I30" s="76">
        <v>4.6920000000000002</v>
      </c>
      <c r="J30" s="76">
        <v>82.37</v>
      </c>
      <c r="K30" s="76">
        <v>522.98</v>
      </c>
      <c r="L30" s="61" t="s">
        <v>25</v>
      </c>
      <c r="M30" s="57">
        <v>67</v>
      </c>
      <c r="N30" s="57">
        <v>4817.9399999999996</v>
      </c>
      <c r="O30" s="57">
        <v>92.04</v>
      </c>
      <c r="P30" s="57">
        <v>669.91</v>
      </c>
      <c r="Q30" s="77">
        <f t="shared" si="0"/>
        <v>0.78067203057127088</v>
      </c>
      <c r="R30" s="69">
        <v>11</v>
      </c>
      <c r="S30" s="36">
        <v>4.6369999999999996</v>
      </c>
      <c r="T30" s="37">
        <v>92.92</v>
      </c>
      <c r="U30" s="19">
        <v>109.98</v>
      </c>
      <c r="V30" s="42">
        <f t="shared" si="2"/>
        <v>4.7552282233133294</v>
      </c>
      <c r="W30" s="9"/>
      <c r="X30" s="58">
        <v>67</v>
      </c>
      <c r="Y30" s="58">
        <v>4817.9399999999996</v>
      </c>
      <c r="Z30" s="58">
        <v>92.04</v>
      </c>
      <c r="AA30" s="57">
        <v>669.91</v>
      </c>
      <c r="AB30" s="27" t="s">
        <v>226</v>
      </c>
      <c r="AC30" s="82" t="s">
        <v>331</v>
      </c>
    </row>
    <row r="31" spans="1:29">
      <c r="A31" s="60" t="s">
        <v>74</v>
      </c>
      <c r="B31" s="60" t="s">
        <v>156</v>
      </c>
      <c r="C31" s="74" t="s">
        <v>125</v>
      </c>
      <c r="D31" s="60" t="s">
        <v>157</v>
      </c>
      <c r="E31" s="57" t="s">
        <v>24</v>
      </c>
      <c r="F31" s="57" t="s">
        <v>24</v>
      </c>
      <c r="G31" s="75" t="s">
        <v>25</v>
      </c>
      <c r="H31" s="75">
        <v>171</v>
      </c>
      <c r="I31" s="75">
        <v>4.9130000000000003</v>
      </c>
      <c r="J31" s="75">
        <v>62.22</v>
      </c>
      <c r="K31" s="75">
        <v>2481.9699999999998</v>
      </c>
      <c r="L31" s="62" t="s">
        <v>25</v>
      </c>
      <c r="M31" s="62">
        <v>210</v>
      </c>
      <c r="N31" s="62">
        <v>4.9740000000000002</v>
      </c>
      <c r="O31" s="62">
        <v>89.5</v>
      </c>
      <c r="P31" s="62">
        <v>1842.45</v>
      </c>
      <c r="Q31" s="77">
        <f t="shared" si="0"/>
        <v>1.3471030421449699</v>
      </c>
      <c r="R31" s="66">
        <v>26</v>
      </c>
      <c r="S31" s="17">
        <v>4.282</v>
      </c>
      <c r="T31" s="28">
        <v>60.52</v>
      </c>
      <c r="U31" s="28">
        <v>392.85</v>
      </c>
      <c r="V31" s="42">
        <f t="shared" si="2"/>
        <v>6.3178566883034231</v>
      </c>
      <c r="W31" s="9"/>
      <c r="X31" s="269" t="s">
        <v>230</v>
      </c>
      <c r="Y31" s="269"/>
      <c r="Z31" s="269"/>
      <c r="AA31" s="269"/>
    </row>
    <row r="32" spans="1:29">
      <c r="A32" s="60" t="s">
        <v>75</v>
      </c>
      <c r="B32" s="60" t="s">
        <v>156</v>
      </c>
      <c r="C32" s="74" t="s">
        <v>125</v>
      </c>
      <c r="D32" s="60" t="s">
        <v>158</v>
      </c>
      <c r="E32" s="57" t="s">
        <v>24</v>
      </c>
      <c r="F32" s="57" t="s">
        <v>24</v>
      </c>
      <c r="G32" s="75" t="s">
        <v>25</v>
      </c>
      <c r="H32" s="75">
        <v>41</v>
      </c>
      <c r="I32" s="75">
        <v>4.9740000000000002</v>
      </c>
      <c r="J32" s="75">
        <v>89.6</v>
      </c>
      <c r="K32" s="75">
        <v>429.45</v>
      </c>
      <c r="L32" s="62" t="s">
        <v>25</v>
      </c>
      <c r="M32" s="62">
        <v>16</v>
      </c>
      <c r="N32" s="62">
        <v>2.004</v>
      </c>
      <c r="O32" s="62">
        <v>99.53</v>
      </c>
      <c r="P32" s="62">
        <v>147.38999999999999</v>
      </c>
      <c r="Q32" s="77">
        <f t="shared" si="0"/>
        <v>2.9136983513128438</v>
      </c>
      <c r="R32" s="64">
        <v>1</v>
      </c>
      <c r="S32" s="20">
        <v>1.083</v>
      </c>
      <c r="T32" s="38">
        <v>164.82</v>
      </c>
      <c r="U32" s="25">
        <v>17.98</v>
      </c>
      <c r="V32" s="42">
        <f t="shared" si="2"/>
        <v>23.884872080088986</v>
      </c>
      <c r="W32" s="9"/>
      <c r="X32" s="269" t="s">
        <v>230</v>
      </c>
      <c r="Y32" s="269"/>
      <c r="Z32" s="269"/>
      <c r="AA32" s="269"/>
    </row>
    <row r="33" spans="1:29">
      <c r="A33" s="60" t="s">
        <v>80</v>
      </c>
      <c r="B33" s="60" t="s">
        <v>159</v>
      </c>
      <c r="C33" s="74">
        <v>185</v>
      </c>
      <c r="D33" s="60" t="s">
        <v>160</v>
      </c>
      <c r="E33" s="57" t="s">
        <v>24</v>
      </c>
      <c r="F33" s="57" t="s">
        <v>24</v>
      </c>
      <c r="G33" s="75" t="s">
        <v>25</v>
      </c>
      <c r="H33" s="75">
        <v>11</v>
      </c>
      <c r="I33" s="75">
        <v>2.032</v>
      </c>
      <c r="J33" s="75">
        <v>80.44</v>
      </c>
      <c r="K33" s="75">
        <v>32.03</v>
      </c>
      <c r="L33" s="61" t="s">
        <v>25</v>
      </c>
      <c r="M33" s="57" t="s">
        <v>23</v>
      </c>
      <c r="N33" s="57"/>
      <c r="O33" s="57"/>
      <c r="P33" s="57"/>
      <c r="Q33" s="77" t="e">
        <f t="shared" si="0"/>
        <v>#DIV/0!</v>
      </c>
      <c r="R33" s="65">
        <v>1</v>
      </c>
      <c r="S33" s="24">
        <v>1.3149999999999999</v>
      </c>
      <c r="T33" s="25">
        <v>114.94</v>
      </c>
      <c r="U33" s="25">
        <v>41.51</v>
      </c>
      <c r="V33" s="42">
        <f t="shared" si="2"/>
        <v>0.77162129607323537</v>
      </c>
      <c r="W33" s="9" t="s">
        <v>235</v>
      </c>
      <c r="X33" s="57"/>
      <c r="Y33" s="57"/>
      <c r="Z33" s="57"/>
      <c r="AA33" s="57"/>
    </row>
    <row r="34" spans="1:29">
      <c r="A34" s="60" t="s">
        <v>162</v>
      </c>
      <c r="B34" s="60"/>
      <c r="C34" s="74">
        <v>185</v>
      </c>
      <c r="D34" s="60" t="s">
        <v>163</v>
      </c>
      <c r="E34" s="57"/>
      <c r="F34" s="57"/>
      <c r="G34" s="80" t="s">
        <v>148</v>
      </c>
      <c r="H34" s="80"/>
      <c r="I34" s="80"/>
      <c r="J34" s="80"/>
      <c r="K34" s="80"/>
      <c r="L34" s="61" t="s">
        <v>34</v>
      </c>
      <c r="M34" s="57">
        <v>4</v>
      </c>
      <c r="N34" s="57">
        <v>4.63</v>
      </c>
      <c r="O34" s="57">
        <v>99.44</v>
      </c>
      <c r="P34" s="57">
        <v>38.51</v>
      </c>
      <c r="Q34" s="77">
        <f t="shared" si="0"/>
        <v>0</v>
      </c>
      <c r="R34" s="67"/>
      <c r="S34" s="31"/>
      <c r="T34" s="32"/>
      <c r="U34" s="32"/>
      <c r="V34" s="42"/>
      <c r="W34" s="9"/>
      <c r="X34" s="57">
        <v>4</v>
      </c>
      <c r="Y34" s="60">
        <v>4792.1099999999997</v>
      </c>
      <c r="Z34" s="60">
        <v>98.68</v>
      </c>
      <c r="AA34" s="60">
        <v>38.729999999999997</v>
      </c>
    </row>
    <row r="35" spans="1:29">
      <c r="A35" s="60" t="s">
        <v>164</v>
      </c>
      <c r="B35" s="60"/>
      <c r="C35" s="74">
        <v>185</v>
      </c>
      <c r="D35" s="60" t="s">
        <v>165</v>
      </c>
      <c r="E35" s="57"/>
      <c r="F35" s="57"/>
      <c r="G35" s="80" t="s">
        <v>148</v>
      </c>
      <c r="H35" s="80"/>
      <c r="I35" s="80"/>
      <c r="J35" s="80"/>
      <c r="K35" s="80"/>
      <c r="L35" s="61" t="s">
        <v>34</v>
      </c>
      <c r="M35" s="57">
        <v>1</v>
      </c>
      <c r="N35" s="57">
        <v>1.9810000000000001</v>
      </c>
      <c r="O35" s="57">
        <v>72.319999999999993</v>
      </c>
      <c r="P35" s="57">
        <v>13.49</v>
      </c>
      <c r="Q35" s="77">
        <f t="shared" si="0"/>
        <v>0</v>
      </c>
      <c r="R35" s="67"/>
      <c r="S35" s="31"/>
      <c r="T35" s="32"/>
      <c r="U35" s="32"/>
      <c r="V35" s="42"/>
      <c r="W35" s="9"/>
      <c r="X35" s="269"/>
      <c r="Y35" s="269"/>
      <c r="Z35" s="269"/>
      <c r="AA35" s="269"/>
    </row>
    <row r="36" spans="1:29">
      <c r="A36" s="60" t="s">
        <v>166</v>
      </c>
      <c r="B36" s="60"/>
      <c r="C36" s="74">
        <v>185</v>
      </c>
      <c r="D36" s="60" t="s">
        <v>167</v>
      </c>
      <c r="E36" s="57"/>
      <c r="F36" s="57"/>
      <c r="G36" s="80" t="s">
        <v>148</v>
      </c>
      <c r="H36" s="80"/>
      <c r="I36" s="80"/>
      <c r="J36" s="80"/>
      <c r="K36" s="80"/>
      <c r="L36" s="61" t="s">
        <v>34</v>
      </c>
      <c r="M36" s="57">
        <v>1</v>
      </c>
      <c r="N36" s="57">
        <v>1.9550000000000001</v>
      </c>
      <c r="O36" s="57">
        <v>74.69</v>
      </c>
      <c r="P36" s="57">
        <v>13.08</v>
      </c>
      <c r="Q36" s="77">
        <f t="shared" si="0"/>
        <v>0</v>
      </c>
      <c r="R36" s="67"/>
      <c r="S36" s="31"/>
      <c r="T36" s="32"/>
      <c r="U36" s="32"/>
      <c r="V36" s="42"/>
      <c r="W36" s="9"/>
      <c r="X36" s="57">
        <v>1</v>
      </c>
      <c r="Y36" s="60">
        <v>1994.99</v>
      </c>
      <c r="Z36" s="60">
        <v>72.75</v>
      </c>
      <c r="AA36" s="60">
        <v>13.41</v>
      </c>
    </row>
    <row r="37" spans="1:29">
      <c r="A37" s="60" t="s">
        <v>168</v>
      </c>
      <c r="B37" s="60"/>
      <c r="C37" s="74">
        <v>185</v>
      </c>
      <c r="D37" s="60" t="s">
        <v>169</v>
      </c>
      <c r="E37" s="57"/>
      <c r="F37" s="57"/>
      <c r="G37" s="80" t="s">
        <v>148</v>
      </c>
      <c r="H37" s="80"/>
      <c r="I37" s="80"/>
      <c r="J37" s="80"/>
      <c r="K37" s="80"/>
      <c r="L37" s="61" t="s">
        <v>34</v>
      </c>
      <c r="M37" s="57">
        <v>4</v>
      </c>
      <c r="N37" s="57">
        <v>3.1970000000000001</v>
      </c>
      <c r="O37" s="57">
        <v>93.97</v>
      </c>
      <c r="P37" s="57">
        <v>41.23</v>
      </c>
      <c r="Q37" s="77">
        <f t="shared" ref="Q37:Q59" si="3">K37/P37</f>
        <v>0</v>
      </c>
      <c r="R37" s="67"/>
      <c r="S37" s="31"/>
      <c r="T37" s="32"/>
      <c r="U37" s="32"/>
      <c r="V37" s="42"/>
      <c r="W37" s="9"/>
      <c r="X37" s="60">
        <v>4</v>
      </c>
      <c r="Y37" s="60">
        <v>3461</v>
      </c>
      <c r="Z37" s="60">
        <v>97.01</v>
      </c>
      <c r="AA37" s="60">
        <v>39.869999999999997</v>
      </c>
    </row>
    <row r="38" spans="1:29">
      <c r="A38" s="60" t="s">
        <v>170</v>
      </c>
      <c r="B38" s="60"/>
      <c r="C38" s="74">
        <v>185</v>
      </c>
      <c r="D38" s="60" t="s">
        <v>171</v>
      </c>
      <c r="E38" s="57"/>
      <c r="F38" s="57"/>
      <c r="G38" s="80" t="s">
        <v>148</v>
      </c>
      <c r="H38" s="80"/>
      <c r="I38" s="80"/>
      <c r="J38" s="80"/>
      <c r="K38" s="80"/>
      <c r="L38" s="61" t="s">
        <v>25</v>
      </c>
      <c r="M38" s="57">
        <v>24</v>
      </c>
      <c r="N38" s="57">
        <v>4.7460000000000004</v>
      </c>
      <c r="O38" s="57">
        <v>99.65</v>
      </c>
      <c r="P38" s="57">
        <v>225.04</v>
      </c>
      <c r="Q38" s="77">
        <f t="shared" si="3"/>
        <v>0</v>
      </c>
      <c r="R38" s="67"/>
      <c r="S38" s="31"/>
      <c r="T38" s="32"/>
      <c r="U38" s="32"/>
      <c r="V38" s="42"/>
      <c r="W38" s="9"/>
      <c r="X38" s="57">
        <v>24</v>
      </c>
      <c r="Y38" s="57">
        <v>4690.6000000000004</v>
      </c>
      <c r="Z38" s="57">
        <v>98.48</v>
      </c>
      <c r="AA38" s="57">
        <v>230.04</v>
      </c>
    </row>
    <row r="39" spans="1:29">
      <c r="A39" s="60" t="s">
        <v>173</v>
      </c>
      <c r="B39" s="60"/>
      <c r="C39" s="74">
        <v>185</v>
      </c>
      <c r="D39" s="60" t="s">
        <v>174</v>
      </c>
      <c r="E39" s="57"/>
      <c r="F39" s="57"/>
      <c r="G39" s="80" t="s">
        <v>148</v>
      </c>
      <c r="H39" s="80"/>
      <c r="I39" s="80"/>
      <c r="J39" s="80"/>
      <c r="K39" s="80"/>
      <c r="L39" s="61" t="s">
        <v>44</v>
      </c>
      <c r="M39" s="57">
        <v>31</v>
      </c>
      <c r="N39" s="57">
        <v>2.323</v>
      </c>
      <c r="O39" s="57">
        <v>95.57</v>
      </c>
      <c r="P39" s="57">
        <v>317.06</v>
      </c>
      <c r="Q39" s="77">
        <f t="shared" si="3"/>
        <v>0</v>
      </c>
      <c r="R39" s="67"/>
      <c r="S39" s="31"/>
      <c r="T39" s="32"/>
      <c r="U39" s="32"/>
      <c r="V39" s="42"/>
      <c r="W39" s="9"/>
      <c r="X39" s="269" t="s">
        <v>237</v>
      </c>
      <c r="Y39" s="269"/>
      <c r="Z39" s="269"/>
      <c r="AA39" s="269"/>
    </row>
    <row r="40" spans="1:29">
      <c r="A40" s="60" t="s">
        <v>175</v>
      </c>
      <c r="B40" s="60"/>
      <c r="C40" s="74">
        <v>185</v>
      </c>
      <c r="D40" s="60" t="s">
        <v>176</v>
      </c>
      <c r="E40" s="57"/>
      <c r="F40" s="57"/>
      <c r="G40" s="80" t="s">
        <v>148</v>
      </c>
      <c r="H40" s="80"/>
      <c r="I40" s="80"/>
      <c r="J40" s="80"/>
      <c r="K40" s="80"/>
      <c r="L40" s="61" t="s">
        <v>44</v>
      </c>
      <c r="M40" s="57">
        <v>27</v>
      </c>
      <c r="N40" s="57">
        <v>4.2069999999999999</v>
      </c>
      <c r="O40" s="57">
        <v>98.32</v>
      </c>
      <c r="P40" s="57">
        <v>170.52</v>
      </c>
      <c r="Q40" s="77">
        <f t="shared" si="3"/>
        <v>0</v>
      </c>
      <c r="R40" s="67"/>
      <c r="S40" s="31"/>
      <c r="T40" s="32"/>
      <c r="U40" s="32"/>
      <c r="V40" s="42"/>
      <c r="W40" s="9"/>
      <c r="X40" s="269" t="s">
        <v>237</v>
      </c>
      <c r="Y40" s="269"/>
      <c r="Z40" s="269"/>
      <c r="AA40" s="269"/>
    </row>
    <row r="41" spans="1:29">
      <c r="A41" s="60" t="s">
        <v>177</v>
      </c>
      <c r="B41" s="60"/>
      <c r="C41" s="74">
        <v>185</v>
      </c>
      <c r="D41" s="60" t="s">
        <v>178</v>
      </c>
      <c r="E41" s="57"/>
      <c r="F41" s="57"/>
      <c r="G41" s="80" t="s">
        <v>148</v>
      </c>
      <c r="H41" s="80"/>
      <c r="I41" s="80"/>
      <c r="J41" s="80"/>
      <c r="K41" s="80"/>
      <c r="L41" s="61" t="s">
        <v>34</v>
      </c>
      <c r="M41" s="57">
        <v>2</v>
      </c>
      <c r="N41" s="57">
        <v>3.1040000000000001</v>
      </c>
      <c r="O41" s="57">
        <v>96.53</v>
      </c>
      <c r="P41" s="57">
        <v>20.11</v>
      </c>
      <c r="Q41" s="77">
        <f t="shared" si="3"/>
        <v>0</v>
      </c>
      <c r="R41" s="67"/>
      <c r="S41" s="31"/>
      <c r="T41" s="32"/>
      <c r="U41" s="32"/>
      <c r="V41" s="42"/>
      <c r="W41" s="9"/>
      <c r="X41" s="269" t="s">
        <v>238</v>
      </c>
      <c r="Y41" s="269"/>
      <c r="Z41" s="269"/>
      <c r="AA41" s="269"/>
    </row>
    <row r="42" spans="1:29">
      <c r="A42" s="60" t="s">
        <v>84</v>
      </c>
      <c r="B42" s="60"/>
      <c r="C42" s="74">
        <v>185</v>
      </c>
      <c r="D42" s="60" t="s">
        <v>179</v>
      </c>
      <c r="E42" s="57" t="s">
        <v>85</v>
      </c>
      <c r="F42" s="57" t="s">
        <v>24</v>
      </c>
      <c r="G42" s="75" t="s">
        <v>25</v>
      </c>
      <c r="H42" s="75">
        <v>71</v>
      </c>
      <c r="I42" s="75">
        <v>4.6159999999999997</v>
      </c>
      <c r="J42" s="75">
        <v>57.03</v>
      </c>
      <c r="K42" s="75">
        <v>1127.95</v>
      </c>
      <c r="L42" s="61" t="s">
        <v>25</v>
      </c>
      <c r="M42" s="57">
        <v>156</v>
      </c>
      <c r="N42" s="57">
        <v>4939.28</v>
      </c>
      <c r="O42" s="57">
        <v>96.11</v>
      </c>
      <c r="P42" s="57">
        <v>1437.52</v>
      </c>
      <c r="Q42" s="77">
        <f t="shared" si="3"/>
        <v>0.78464995269631033</v>
      </c>
      <c r="R42" s="66">
        <v>11</v>
      </c>
      <c r="S42" s="17">
        <v>3.3740000000000001</v>
      </c>
      <c r="T42" s="28">
        <v>55.59</v>
      </c>
      <c r="U42" s="28">
        <v>186.54</v>
      </c>
      <c r="V42" s="42">
        <f>K42/U42</f>
        <v>6.0466923984132093</v>
      </c>
      <c r="W42" s="9"/>
      <c r="X42" s="57">
        <v>156</v>
      </c>
      <c r="Y42" s="57">
        <v>4939.28</v>
      </c>
      <c r="Z42" s="57">
        <v>96.11</v>
      </c>
      <c r="AA42" s="57">
        <v>1437.52</v>
      </c>
      <c r="AB42" s="27" t="s">
        <v>239</v>
      </c>
      <c r="AC42" s="82" t="s">
        <v>332</v>
      </c>
    </row>
    <row r="43" spans="1:29">
      <c r="A43" s="60" t="s">
        <v>86</v>
      </c>
      <c r="B43" s="60"/>
      <c r="C43" s="74">
        <v>185</v>
      </c>
      <c r="D43" s="60" t="s">
        <v>181</v>
      </c>
      <c r="E43" s="57" t="s">
        <v>85</v>
      </c>
      <c r="F43" s="57" t="s">
        <v>24</v>
      </c>
      <c r="G43" s="75" t="s">
        <v>25</v>
      </c>
      <c r="H43" s="75">
        <v>546</v>
      </c>
      <c r="I43" s="75">
        <v>4.8760000000000003</v>
      </c>
      <c r="J43" s="75">
        <v>54.3</v>
      </c>
      <c r="K43" s="75">
        <v>9086.27</v>
      </c>
      <c r="L43" s="61" t="s">
        <v>25</v>
      </c>
      <c r="M43" s="57">
        <v>816</v>
      </c>
      <c r="N43" s="57">
        <v>4839.4799999999996</v>
      </c>
      <c r="O43" s="57">
        <v>94.5</v>
      </c>
      <c r="P43" s="57">
        <v>7613.21</v>
      </c>
      <c r="Q43" s="77">
        <f t="shared" si="3"/>
        <v>1.1934873726062989</v>
      </c>
      <c r="R43" s="66">
        <v>21</v>
      </c>
      <c r="S43" s="17">
        <v>0.876</v>
      </c>
      <c r="T43" s="28">
        <v>16.22</v>
      </c>
      <c r="U43" s="28">
        <v>1081.28</v>
      </c>
      <c r="V43" s="42">
        <f>K43/U43</f>
        <v>8.4032535513465536</v>
      </c>
      <c r="W43" s="9"/>
      <c r="X43" s="57">
        <v>816</v>
      </c>
      <c r="Y43" s="57">
        <v>4839.4799999999996</v>
      </c>
      <c r="Z43" s="57">
        <v>94.5</v>
      </c>
      <c r="AA43" s="57">
        <v>7613.21</v>
      </c>
    </row>
    <row r="44" spans="1:29">
      <c r="A44" s="60" t="s">
        <v>87</v>
      </c>
      <c r="B44" s="60"/>
      <c r="C44" s="74">
        <v>185</v>
      </c>
      <c r="D44" s="60" t="s">
        <v>183</v>
      </c>
      <c r="E44" s="57" t="s">
        <v>85</v>
      </c>
      <c r="F44" s="57" t="s">
        <v>24</v>
      </c>
      <c r="G44" s="75" t="s">
        <v>25</v>
      </c>
      <c r="H44" s="75">
        <v>121</v>
      </c>
      <c r="I44" s="75">
        <v>3.6240000000000001</v>
      </c>
      <c r="J44" s="75">
        <v>98.63</v>
      </c>
      <c r="K44" s="75">
        <v>1159.21</v>
      </c>
      <c r="L44" s="61" t="s">
        <v>25</v>
      </c>
      <c r="M44" s="57">
        <v>280</v>
      </c>
      <c r="N44" s="57">
        <v>2541.41</v>
      </c>
      <c r="O44" s="57">
        <v>3949.54</v>
      </c>
      <c r="P44" s="57">
        <v>97.79</v>
      </c>
      <c r="Q44" s="77">
        <f t="shared" si="3"/>
        <v>11.854075058799468</v>
      </c>
      <c r="R44" s="66">
        <v>16</v>
      </c>
      <c r="S44" s="17">
        <v>1.8320000000000001</v>
      </c>
      <c r="T44" s="28">
        <v>71.36</v>
      </c>
      <c r="U44" s="28">
        <v>201.6</v>
      </c>
      <c r="V44" s="42">
        <f>K44/U44</f>
        <v>5.7500496031746033</v>
      </c>
      <c r="W44" s="9"/>
      <c r="X44" s="57">
        <v>280</v>
      </c>
      <c r="Y44" s="58">
        <v>2541.41</v>
      </c>
      <c r="Z44" s="57">
        <v>3949.54</v>
      </c>
      <c r="AA44" s="58">
        <v>97.79</v>
      </c>
    </row>
    <row r="45" spans="1:29">
      <c r="A45" s="60" t="s">
        <v>88</v>
      </c>
      <c r="B45" s="60"/>
      <c r="C45" s="74">
        <v>185</v>
      </c>
      <c r="D45" s="60" t="s">
        <v>185</v>
      </c>
      <c r="E45" s="57" t="s">
        <v>85</v>
      </c>
      <c r="F45" s="57" t="s">
        <v>24</v>
      </c>
      <c r="G45" s="184" t="s">
        <v>128</v>
      </c>
      <c r="H45" s="184">
        <v>1</v>
      </c>
      <c r="I45" s="184">
        <v>4.13</v>
      </c>
      <c r="J45" s="184">
        <v>329</v>
      </c>
      <c r="K45" s="184">
        <v>3.01</v>
      </c>
      <c r="L45" s="61" t="s">
        <v>44</v>
      </c>
      <c r="M45" s="57">
        <v>1</v>
      </c>
      <c r="N45" s="57">
        <v>3457.87</v>
      </c>
      <c r="O45" s="57">
        <v>3457.87</v>
      </c>
      <c r="P45" s="57">
        <v>3457.87</v>
      </c>
      <c r="Q45" s="77">
        <f t="shared" si="3"/>
        <v>8.7047806886898576E-4</v>
      </c>
      <c r="R45" s="185">
        <v>1</v>
      </c>
      <c r="S45" s="121">
        <v>4.7729999999999997</v>
      </c>
      <c r="T45" s="122">
        <v>351.26</v>
      </c>
      <c r="U45" s="122">
        <v>5.64</v>
      </c>
      <c r="V45" s="55">
        <f>K45/U45</f>
        <v>0.53368794326241131</v>
      </c>
      <c r="W45" s="9"/>
      <c r="X45" s="57">
        <v>1</v>
      </c>
      <c r="Y45" s="57">
        <v>3457.87</v>
      </c>
      <c r="Z45" s="57">
        <v>3457.87</v>
      </c>
      <c r="AA45" s="57">
        <v>3457.87</v>
      </c>
    </row>
    <row r="46" spans="1:29" ht="15.6" customHeight="1">
      <c r="A46" s="60" t="s">
        <v>219</v>
      </c>
      <c r="B46" s="60"/>
      <c r="C46" s="74">
        <v>185</v>
      </c>
      <c r="D46" s="60" t="s">
        <v>188</v>
      </c>
      <c r="E46" s="57" t="s">
        <v>85</v>
      </c>
      <c r="F46" s="57" t="s">
        <v>24</v>
      </c>
      <c r="G46" s="80" t="s">
        <v>148</v>
      </c>
      <c r="H46" s="80"/>
      <c r="I46" s="80"/>
      <c r="J46" s="80"/>
      <c r="K46" s="80"/>
      <c r="L46" s="61" t="s">
        <v>34</v>
      </c>
      <c r="M46" s="57" t="s">
        <v>240</v>
      </c>
      <c r="N46" s="57"/>
      <c r="O46" s="57"/>
      <c r="P46" s="57"/>
      <c r="Q46" s="77" t="e">
        <f t="shared" si="3"/>
        <v>#DIV/0!</v>
      </c>
      <c r="R46" s="67"/>
      <c r="S46" s="31"/>
      <c r="T46" s="32"/>
      <c r="U46" s="32"/>
      <c r="V46" s="42"/>
      <c r="W46" s="9"/>
      <c r="X46" s="269" t="s">
        <v>240</v>
      </c>
      <c r="Y46" s="269"/>
      <c r="Z46" s="269"/>
      <c r="AA46" s="269"/>
    </row>
    <row r="47" spans="1:29" ht="15.6" customHeight="1">
      <c r="A47" s="60" t="s">
        <v>220</v>
      </c>
      <c r="B47" s="60"/>
      <c r="C47" s="74">
        <v>185</v>
      </c>
      <c r="D47" s="60" t="s">
        <v>190</v>
      </c>
      <c r="E47" s="57" t="s">
        <v>85</v>
      </c>
      <c r="F47" s="57" t="s">
        <v>24</v>
      </c>
      <c r="G47" s="80" t="s">
        <v>148</v>
      </c>
      <c r="H47" s="80"/>
      <c r="I47" s="80"/>
      <c r="J47" s="80"/>
      <c r="K47" s="80"/>
      <c r="L47" s="61" t="s">
        <v>34</v>
      </c>
      <c r="M47" s="57" t="s">
        <v>240</v>
      </c>
      <c r="N47" s="57"/>
      <c r="O47" s="57"/>
      <c r="P47" s="57"/>
      <c r="Q47" s="77" t="e">
        <f t="shared" si="3"/>
        <v>#DIV/0!</v>
      </c>
      <c r="R47" s="67"/>
      <c r="S47" s="31"/>
      <c r="T47" s="32"/>
      <c r="U47" s="32"/>
      <c r="V47" s="42"/>
      <c r="W47" s="9"/>
      <c r="X47" s="269" t="s">
        <v>240</v>
      </c>
      <c r="Y47" s="269"/>
      <c r="Z47" s="269"/>
      <c r="AA47" s="269"/>
    </row>
    <row r="48" spans="1:29" ht="15.6" customHeight="1">
      <c r="A48" s="60" t="s">
        <v>191</v>
      </c>
      <c r="B48" s="60">
        <v>1</v>
      </c>
      <c r="C48" s="74">
        <v>185</v>
      </c>
      <c r="D48" s="60" t="s">
        <v>192</v>
      </c>
      <c r="E48" s="57" t="s">
        <v>85</v>
      </c>
      <c r="F48" s="57" t="s">
        <v>24</v>
      </c>
      <c r="G48" s="80" t="s">
        <v>148</v>
      </c>
      <c r="H48" s="80"/>
      <c r="I48" s="80"/>
      <c r="J48" s="80"/>
      <c r="K48" s="80"/>
      <c r="L48" s="61" t="s">
        <v>34</v>
      </c>
      <c r="M48" s="57" t="s">
        <v>227</v>
      </c>
      <c r="N48" s="57"/>
      <c r="O48" s="57"/>
      <c r="P48" s="57"/>
      <c r="Q48" s="77" t="e">
        <f t="shared" si="3"/>
        <v>#DIV/0!</v>
      </c>
      <c r="R48" s="67"/>
      <c r="S48" s="31"/>
      <c r="T48" s="32"/>
      <c r="U48" s="32"/>
      <c r="V48" s="42"/>
      <c r="W48" s="9"/>
      <c r="X48" s="269" t="s">
        <v>227</v>
      </c>
      <c r="Y48" s="269"/>
      <c r="Z48" s="269"/>
      <c r="AA48" s="269"/>
    </row>
    <row r="49" spans="1:29" ht="15.6" customHeight="1">
      <c r="A49" s="60" t="s">
        <v>193</v>
      </c>
      <c r="B49" s="60">
        <v>1</v>
      </c>
      <c r="C49" s="74">
        <v>185</v>
      </c>
      <c r="D49" s="60" t="s">
        <v>194</v>
      </c>
      <c r="E49" s="57" t="s">
        <v>85</v>
      </c>
      <c r="F49" s="57" t="s">
        <v>24</v>
      </c>
      <c r="G49" s="80" t="s">
        <v>148</v>
      </c>
      <c r="H49" s="80"/>
      <c r="I49" s="80"/>
      <c r="J49" s="80"/>
      <c r="K49" s="80"/>
      <c r="L49" s="61" t="s">
        <v>34</v>
      </c>
      <c r="M49" s="57" t="s">
        <v>227</v>
      </c>
      <c r="N49" s="57"/>
      <c r="O49" s="57"/>
      <c r="P49" s="57"/>
      <c r="Q49" s="77" t="e">
        <f t="shared" si="3"/>
        <v>#DIV/0!</v>
      </c>
      <c r="R49" s="67"/>
      <c r="S49" s="31"/>
      <c r="T49" s="32"/>
      <c r="U49" s="32"/>
      <c r="V49" s="42"/>
      <c r="W49" s="9"/>
      <c r="X49" s="269" t="s">
        <v>227</v>
      </c>
      <c r="Y49" s="269"/>
      <c r="Z49" s="269"/>
      <c r="AA49" s="269"/>
    </row>
    <row r="50" spans="1:29">
      <c r="A50" s="60" t="s">
        <v>89</v>
      </c>
      <c r="B50" s="60"/>
      <c r="C50" s="74">
        <v>185</v>
      </c>
      <c r="D50" s="60" t="s">
        <v>196</v>
      </c>
      <c r="E50" s="57" t="s">
        <v>85</v>
      </c>
      <c r="F50" s="57" t="s">
        <v>24</v>
      </c>
      <c r="G50" s="78" t="s">
        <v>128</v>
      </c>
      <c r="H50" s="78">
        <v>1</v>
      </c>
      <c r="I50" s="78">
        <v>1.8879999999999999</v>
      </c>
      <c r="J50" s="78">
        <v>166.56</v>
      </c>
      <c r="K50" s="78">
        <v>5.94</v>
      </c>
      <c r="L50" s="61" t="s">
        <v>44</v>
      </c>
      <c r="M50" s="57">
        <v>12</v>
      </c>
      <c r="N50" s="57">
        <v>4938.93</v>
      </c>
      <c r="O50" s="57">
        <v>79.680000000000007</v>
      </c>
      <c r="P50" s="57">
        <v>142.12</v>
      </c>
      <c r="Q50" s="77">
        <f t="shared" si="3"/>
        <v>4.1795665634674926E-2</v>
      </c>
      <c r="R50" s="65">
        <v>1</v>
      </c>
      <c r="S50" s="24">
        <v>2.4990000000000001</v>
      </c>
      <c r="T50" s="25">
        <v>182451.31</v>
      </c>
      <c r="U50" s="25">
        <v>5.55</v>
      </c>
      <c r="V50" s="42">
        <f>K50/U50</f>
        <v>1.0702702702702704</v>
      </c>
      <c r="W50" s="9"/>
      <c r="X50" s="57">
        <v>12</v>
      </c>
      <c r="Y50" s="58">
        <v>4938.93</v>
      </c>
      <c r="Z50" s="58">
        <v>79.680000000000007</v>
      </c>
      <c r="AA50" s="58">
        <v>142.12</v>
      </c>
    </row>
    <row r="51" spans="1:29">
      <c r="A51" s="60" t="s">
        <v>197</v>
      </c>
      <c r="B51" s="60"/>
      <c r="C51" s="74">
        <v>185</v>
      </c>
      <c r="D51" s="60" t="s">
        <v>198</v>
      </c>
      <c r="E51" s="57" t="s">
        <v>85</v>
      </c>
      <c r="F51" s="57" t="s">
        <v>24</v>
      </c>
      <c r="G51" s="80" t="s">
        <v>148</v>
      </c>
      <c r="H51" s="80"/>
      <c r="I51" s="80"/>
      <c r="J51" s="80"/>
      <c r="K51" s="80"/>
      <c r="L51" s="61" t="s">
        <v>34</v>
      </c>
      <c r="M51" s="57">
        <v>7</v>
      </c>
      <c r="N51" s="57">
        <v>3.2170000000000001</v>
      </c>
      <c r="O51" s="57">
        <v>98.01</v>
      </c>
      <c r="P51" s="57">
        <v>69.260000000000005</v>
      </c>
      <c r="Q51" s="77">
        <f t="shared" si="3"/>
        <v>0</v>
      </c>
      <c r="R51" s="67"/>
      <c r="S51" s="31"/>
      <c r="T51" s="32"/>
      <c r="U51" s="32"/>
      <c r="V51" s="42"/>
      <c r="W51" s="9"/>
      <c r="X51" s="57">
        <v>7</v>
      </c>
      <c r="Y51" s="57">
        <v>3559.2</v>
      </c>
      <c r="Z51" s="57">
        <v>98.52</v>
      </c>
      <c r="AA51" s="57">
        <v>68.69</v>
      </c>
    </row>
    <row r="52" spans="1:29">
      <c r="A52" s="60" t="s">
        <v>91</v>
      </c>
      <c r="B52" s="60"/>
      <c r="C52" s="74">
        <v>185</v>
      </c>
      <c r="D52" s="60" t="s">
        <v>199</v>
      </c>
      <c r="E52" s="57" t="s">
        <v>92</v>
      </c>
      <c r="F52" s="57" t="s">
        <v>24</v>
      </c>
      <c r="G52" s="75" t="s">
        <v>25</v>
      </c>
      <c r="H52" s="76">
        <v>46</v>
      </c>
      <c r="I52" s="76">
        <v>4.508</v>
      </c>
      <c r="J52" s="76">
        <v>89.83</v>
      </c>
      <c r="K52" s="76">
        <v>475.47</v>
      </c>
      <c r="L52" s="62" t="s">
        <v>25</v>
      </c>
      <c r="M52" s="62">
        <v>68</v>
      </c>
      <c r="N52" s="62">
        <v>4.9989999999999997</v>
      </c>
      <c r="O52" s="62">
        <v>62.52</v>
      </c>
      <c r="P52" s="62">
        <v>932.95</v>
      </c>
      <c r="Q52" s="77">
        <f t="shared" si="3"/>
        <v>0.50964145988531007</v>
      </c>
      <c r="R52" s="63">
        <v>6</v>
      </c>
      <c r="S52" s="18">
        <v>3.1</v>
      </c>
      <c r="T52" s="19">
        <v>87.26</v>
      </c>
      <c r="U52" s="19">
        <v>66.44</v>
      </c>
      <c r="V52" s="42">
        <f>K52/U52</f>
        <v>7.1563816977724271</v>
      </c>
      <c r="W52" s="9"/>
      <c r="X52" s="269" t="s">
        <v>241</v>
      </c>
      <c r="Y52" s="269"/>
      <c r="Z52" s="269"/>
      <c r="AA52" s="269"/>
      <c r="AB52" s="82" t="s">
        <v>333</v>
      </c>
      <c r="AC52" s="82" t="s">
        <v>334</v>
      </c>
    </row>
    <row r="53" spans="1:29">
      <c r="A53" s="60" t="s">
        <v>93</v>
      </c>
      <c r="B53" s="60"/>
      <c r="C53" s="74">
        <v>185</v>
      </c>
      <c r="D53" s="60" t="s">
        <v>200</v>
      </c>
      <c r="E53" s="57" t="s">
        <v>92</v>
      </c>
      <c r="F53" s="57" t="s">
        <v>24</v>
      </c>
      <c r="G53" s="75" t="s">
        <v>25</v>
      </c>
      <c r="H53" s="76">
        <v>336</v>
      </c>
      <c r="I53" s="75">
        <v>4.9729999999999999</v>
      </c>
      <c r="J53" s="76">
        <v>41.4</v>
      </c>
      <c r="K53" s="76">
        <v>7180.94</v>
      </c>
      <c r="L53" s="62" t="s">
        <v>25</v>
      </c>
      <c r="M53" s="62">
        <v>546</v>
      </c>
      <c r="N53" s="62">
        <v>4.9379999999999997</v>
      </c>
      <c r="O53" s="62">
        <v>72.599999999999994</v>
      </c>
      <c r="P53" s="62">
        <v>6233.22</v>
      </c>
      <c r="Q53" s="77">
        <f t="shared" si="3"/>
        <v>1.1520434061367959</v>
      </c>
      <c r="R53" s="63">
        <v>76</v>
      </c>
      <c r="S53" s="18">
        <v>1.331</v>
      </c>
      <c r="T53" s="19">
        <v>26.36</v>
      </c>
      <c r="U53" s="19">
        <v>2698.42</v>
      </c>
      <c r="V53" s="42">
        <f>K53/U53</f>
        <v>2.661164681554391</v>
      </c>
      <c r="W53" s="9"/>
      <c r="X53" s="269"/>
      <c r="Y53" s="269"/>
      <c r="Z53" s="269"/>
      <c r="AA53" s="269"/>
    </row>
    <row r="54" spans="1:29">
      <c r="A54" s="60" t="s">
        <v>94</v>
      </c>
      <c r="B54" s="60"/>
      <c r="C54" s="74">
        <v>185</v>
      </c>
      <c r="D54" s="60" t="s">
        <v>201</v>
      </c>
      <c r="E54" s="57" t="s">
        <v>92</v>
      </c>
      <c r="F54" s="57" t="s">
        <v>24</v>
      </c>
      <c r="G54" s="75" t="s">
        <v>25</v>
      </c>
      <c r="H54" s="75">
        <v>91</v>
      </c>
      <c r="I54" s="75">
        <v>4.7080000000000002</v>
      </c>
      <c r="J54" s="75">
        <v>99.57</v>
      </c>
      <c r="K54" s="75">
        <v>854.53</v>
      </c>
      <c r="L54" s="62" t="s">
        <v>25</v>
      </c>
      <c r="M54" s="62">
        <v>186</v>
      </c>
      <c r="N54" s="62">
        <v>4.93</v>
      </c>
      <c r="O54" s="62">
        <v>77.48</v>
      </c>
      <c r="P54" s="62">
        <v>2074.77</v>
      </c>
      <c r="Q54" s="77">
        <f t="shared" si="3"/>
        <v>0.41186733951233145</v>
      </c>
      <c r="R54" s="65">
        <v>1</v>
      </c>
      <c r="S54" s="24">
        <v>0.373</v>
      </c>
      <c r="T54" s="25">
        <v>121.37</v>
      </c>
      <c r="U54" s="25">
        <v>34.14</v>
      </c>
      <c r="V54" s="42">
        <f>K54/U54</f>
        <v>25.030169888693614</v>
      </c>
      <c r="W54" s="9"/>
      <c r="X54" s="269"/>
      <c r="Y54" s="269"/>
      <c r="Z54" s="269"/>
      <c r="AA54" s="269"/>
      <c r="AB54" s="82" t="s">
        <v>335</v>
      </c>
      <c r="AC54" s="82" t="s">
        <v>336</v>
      </c>
    </row>
    <row r="55" spans="1:29">
      <c r="A55" s="60" t="s">
        <v>95</v>
      </c>
      <c r="B55" s="60"/>
      <c r="C55" s="74">
        <v>185</v>
      </c>
      <c r="D55" s="60" t="s">
        <v>202</v>
      </c>
      <c r="E55" s="57" t="s">
        <v>92</v>
      </c>
      <c r="F55" s="57" t="s">
        <v>24</v>
      </c>
      <c r="G55" s="78" t="s">
        <v>128</v>
      </c>
      <c r="H55" s="78">
        <v>1</v>
      </c>
      <c r="I55" s="78">
        <v>4.0250000000000004</v>
      </c>
      <c r="J55" s="78">
        <v>264.92</v>
      </c>
      <c r="K55" s="78">
        <v>3.72</v>
      </c>
      <c r="L55" s="62" t="s">
        <v>44</v>
      </c>
      <c r="M55" s="62">
        <v>6</v>
      </c>
      <c r="N55" s="62">
        <v>4.8559999999999999</v>
      </c>
      <c r="O55" s="62">
        <v>66.569999999999993</v>
      </c>
      <c r="P55" s="62">
        <v>84.2</v>
      </c>
      <c r="Q55" s="77">
        <f t="shared" si="3"/>
        <v>4.4180522565320665E-2</v>
      </c>
      <c r="R55" s="65"/>
      <c r="S55" s="24" t="s">
        <v>203</v>
      </c>
      <c r="T55" s="25"/>
      <c r="U55" s="25"/>
      <c r="V55" s="42" t="e">
        <f>K55/U55</f>
        <v>#DIV/0!</v>
      </c>
      <c r="W55" s="9"/>
      <c r="X55" s="269"/>
      <c r="Y55" s="269"/>
      <c r="Z55" s="269"/>
      <c r="AA55" s="269"/>
    </row>
    <row r="56" spans="1:29">
      <c r="A56" s="60" t="s">
        <v>96</v>
      </c>
      <c r="B56" s="60"/>
      <c r="C56" s="74">
        <v>185</v>
      </c>
      <c r="D56" s="60" t="s">
        <v>204</v>
      </c>
      <c r="E56" s="57" t="s">
        <v>92</v>
      </c>
      <c r="F56" s="57" t="s">
        <v>24</v>
      </c>
      <c r="G56" s="78" t="s">
        <v>25</v>
      </c>
      <c r="H56" s="78">
        <v>1</v>
      </c>
      <c r="I56" s="78">
        <v>1.43</v>
      </c>
      <c r="J56" s="78">
        <v>114.47</v>
      </c>
      <c r="K56" s="78">
        <v>8.64</v>
      </c>
      <c r="L56" s="62" t="s">
        <v>25</v>
      </c>
      <c r="M56" s="62">
        <v>32</v>
      </c>
      <c r="N56" s="62">
        <v>4.915</v>
      </c>
      <c r="O56" s="62">
        <v>77.760000000000005</v>
      </c>
      <c r="P56" s="62">
        <v>371.6</v>
      </c>
      <c r="Q56" s="77">
        <f t="shared" si="3"/>
        <v>2.3250807319698599E-2</v>
      </c>
      <c r="R56" s="65">
        <v>1</v>
      </c>
      <c r="S56" s="24">
        <v>1.5269999999999999</v>
      </c>
      <c r="T56" s="25">
        <v>130.69</v>
      </c>
      <c r="U56" s="25">
        <v>15.15</v>
      </c>
      <c r="V56" s="55">
        <f>K56/U56</f>
        <v>0.57029702970297036</v>
      </c>
      <c r="W56" s="9"/>
      <c r="X56" s="269"/>
      <c r="Y56" s="269"/>
      <c r="Z56" s="269"/>
      <c r="AA56" s="269"/>
      <c r="AB56" s="82" t="s">
        <v>335</v>
      </c>
      <c r="AC56" s="82"/>
    </row>
    <row r="57" spans="1:29">
      <c r="A57" s="60" t="s">
        <v>205</v>
      </c>
      <c r="B57" s="60"/>
      <c r="C57" s="74">
        <v>185</v>
      </c>
      <c r="D57" s="60" t="s">
        <v>206</v>
      </c>
      <c r="E57" s="57" t="s">
        <v>92</v>
      </c>
      <c r="F57" s="57" t="s">
        <v>24</v>
      </c>
      <c r="G57" s="80" t="s">
        <v>148</v>
      </c>
      <c r="H57" s="80"/>
      <c r="I57" s="80"/>
      <c r="J57" s="80"/>
      <c r="K57" s="80"/>
      <c r="L57" s="62" t="s">
        <v>44</v>
      </c>
      <c r="M57" s="62">
        <v>35</v>
      </c>
      <c r="N57" s="62">
        <v>4.9989999999999997</v>
      </c>
      <c r="O57" s="62">
        <v>69.37</v>
      </c>
      <c r="P57" s="62">
        <v>471.72</v>
      </c>
      <c r="Q57" s="77">
        <f t="shared" si="3"/>
        <v>0</v>
      </c>
      <c r="R57" s="67"/>
      <c r="S57" s="31"/>
      <c r="T57" s="32"/>
      <c r="U57" s="32"/>
      <c r="V57" s="42"/>
      <c r="W57" s="9"/>
      <c r="X57" s="269"/>
      <c r="Y57" s="269"/>
      <c r="Z57" s="269"/>
      <c r="AA57" s="269"/>
    </row>
    <row r="58" spans="1:29">
      <c r="A58" s="60" t="s">
        <v>207</v>
      </c>
      <c r="B58" s="60"/>
      <c r="C58" s="74">
        <v>185</v>
      </c>
      <c r="D58" s="60" t="s">
        <v>208</v>
      </c>
      <c r="E58" s="57" t="s">
        <v>92</v>
      </c>
      <c r="F58" s="57" t="s">
        <v>24</v>
      </c>
      <c r="G58" s="80" t="s">
        <v>148</v>
      </c>
      <c r="H58" s="80"/>
      <c r="I58" s="80"/>
      <c r="J58" s="80"/>
      <c r="K58" s="80"/>
      <c r="L58" s="62" t="s">
        <v>44</v>
      </c>
      <c r="M58" s="62">
        <v>20</v>
      </c>
      <c r="N58" s="62">
        <v>4.8860000000000001</v>
      </c>
      <c r="O58" s="62">
        <v>93.44</v>
      </c>
      <c r="P58" s="62">
        <v>203.81</v>
      </c>
      <c r="Q58" s="77">
        <f t="shared" si="3"/>
        <v>0</v>
      </c>
      <c r="R58" s="67"/>
      <c r="S58" s="31"/>
      <c r="T58" s="32"/>
      <c r="U58" s="32"/>
      <c r="V58" s="42"/>
      <c r="W58" s="9"/>
      <c r="X58" s="269"/>
      <c r="Y58" s="269"/>
      <c r="Z58" s="269"/>
      <c r="AA58" s="269"/>
    </row>
    <row r="59" spans="1:29">
      <c r="A59" s="60" t="s">
        <v>97</v>
      </c>
      <c r="B59" s="60"/>
      <c r="C59" s="74">
        <v>185</v>
      </c>
      <c r="D59" s="60" t="s">
        <v>209</v>
      </c>
      <c r="E59" s="57" t="s">
        <v>92</v>
      </c>
      <c r="F59" s="57" t="s">
        <v>24</v>
      </c>
      <c r="G59" s="75" t="s">
        <v>25</v>
      </c>
      <c r="H59" s="76">
        <v>46</v>
      </c>
      <c r="I59" s="76">
        <v>4.4589999999999996</v>
      </c>
      <c r="J59" s="76">
        <v>86.1</v>
      </c>
      <c r="K59" s="76">
        <v>493.34</v>
      </c>
      <c r="L59" s="62" t="s">
        <v>25</v>
      </c>
      <c r="M59" s="62">
        <v>66</v>
      </c>
      <c r="N59" s="62">
        <v>4.9400000000000004</v>
      </c>
      <c r="O59" s="62">
        <v>58.03</v>
      </c>
      <c r="P59" s="62">
        <v>977.72</v>
      </c>
      <c r="Q59" s="77">
        <f t="shared" si="3"/>
        <v>0.50458208894161927</v>
      </c>
      <c r="R59" s="63">
        <v>11</v>
      </c>
      <c r="S59" s="18">
        <v>3.972</v>
      </c>
      <c r="T59" s="19">
        <v>91.27</v>
      </c>
      <c r="U59" s="19">
        <v>112.27</v>
      </c>
      <c r="V59" s="42">
        <f>K59/U59</f>
        <v>4.3942281998753003</v>
      </c>
      <c r="W59" s="9"/>
      <c r="X59" s="269"/>
      <c r="Y59" s="269"/>
      <c r="Z59" s="269"/>
      <c r="AA59" s="269"/>
      <c r="AB59" s="82" t="s">
        <v>335</v>
      </c>
      <c r="AC59" s="82" t="s">
        <v>337</v>
      </c>
    </row>
  </sheetData>
  <autoFilter ref="A1:AB59" xr:uid="{FC42BD69-52F4-4D1F-87E0-87573682CEC3}"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33">
    <mergeCell ref="H1:K2"/>
    <mergeCell ref="L1:Q2"/>
    <mergeCell ref="G3:K3"/>
    <mergeCell ref="R3:U3"/>
    <mergeCell ref="L3:P3"/>
    <mergeCell ref="X25:AA25"/>
    <mergeCell ref="X3:AA3"/>
    <mergeCell ref="X10:AA10"/>
    <mergeCell ref="X11:AA11"/>
    <mergeCell ref="X14:AA14"/>
    <mergeCell ref="X15:AA15"/>
    <mergeCell ref="X16:AA16"/>
    <mergeCell ref="X17:AA17"/>
    <mergeCell ref="X20:AA20"/>
    <mergeCell ref="X23:AA23"/>
    <mergeCell ref="X24:AA24"/>
    <mergeCell ref="X52:AA59"/>
    <mergeCell ref="X29:AA29"/>
    <mergeCell ref="X31:AA31"/>
    <mergeCell ref="X32:AA32"/>
    <mergeCell ref="X35:AA35"/>
    <mergeCell ref="X39:AA39"/>
    <mergeCell ref="X40:AA40"/>
    <mergeCell ref="X41:AA41"/>
    <mergeCell ref="X46:AA46"/>
    <mergeCell ref="X47:AA47"/>
    <mergeCell ref="X48:AA48"/>
    <mergeCell ref="X49:AA49"/>
    <mergeCell ref="A3:A4"/>
    <mergeCell ref="E3:E4"/>
    <mergeCell ref="F3:F4"/>
    <mergeCell ref="Q3:Q4"/>
    <mergeCell ref="AC3:AC4"/>
  </mergeCells>
  <conditionalFormatting sqref="Q6:Q59">
    <cfRule type="cellIs" dxfId="25" priority="1" operator="greaterThan">
      <formula>1</formula>
    </cfRule>
  </conditionalFormatting>
  <hyperlinks>
    <hyperlink ref="Q3" r:id="rId1" display="https://jira.devtools.intel.com/browse/SGLANGT-496" xr:uid="{C3D0FD0F-6912-4FCD-9561-9633ADE626E3}"/>
    <hyperlink ref="AB15" r:id="rId2" xr:uid="{42971E2C-82DD-4C18-9D2E-88DEE10B8F49}"/>
    <hyperlink ref="AB20" r:id="rId3" xr:uid="{79700A7C-2C09-4B2F-8437-361A7B425D24}"/>
    <hyperlink ref="AB6" r:id="rId4" xr:uid="{141FB8E3-085C-43E5-A1D4-6A371C27D5C0}"/>
    <hyperlink ref="AB8" r:id="rId5" xr:uid="{361FF2BC-C698-44D0-8F6B-89FC1223D9A4}"/>
    <hyperlink ref="AB16" r:id="rId6" xr:uid="{398AFD58-85E0-4D84-A3A1-369D435DD341}"/>
    <hyperlink ref="AB18" r:id="rId7" xr:uid="{6911F75B-B8EE-490A-A1F1-D13684FEE499}"/>
    <hyperlink ref="AB27" r:id="rId8" xr:uid="{50AAA289-95A2-4241-A986-ECEBFD70809A}"/>
    <hyperlink ref="AB28" r:id="rId9" xr:uid="{2E1D2560-FC68-4C9B-85CA-C56E40AEB2DD}"/>
    <hyperlink ref="AB30" r:id="rId10" xr:uid="{CA9B2D94-0247-4EFE-B133-30315C263C76}"/>
    <hyperlink ref="AB42" r:id="rId11" xr:uid="{085CE102-9286-4BCA-98E2-C3E3ABD1EC3D}"/>
    <hyperlink ref="AB52" r:id="rId12" xr:uid="{FD082668-C246-421B-9F9E-C3318AE4341B}"/>
    <hyperlink ref="AB54" r:id="rId13" xr:uid="{E349D3EF-AD0F-4E87-AD3E-B4530E6B8204}"/>
    <hyperlink ref="AB56" r:id="rId14" xr:uid="{8EE2DE9C-2BB3-4423-9AA4-18981E903B40}"/>
    <hyperlink ref="AB59" r:id="rId15" xr:uid="{60C364CC-B6B7-4D5E-990C-A215684F650A}"/>
    <hyperlink ref="AC6" r:id="rId16" xr:uid="{CBE8A18D-807A-44EF-B8DB-A66FB84B83AA}"/>
    <hyperlink ref="AC15" r:id="rId17" xr:uid="{2ECAD9E0-84A3-486B-95AE-FD82D249088E}"/>
    <hyperlink ref="AC8" r:id="rId18" xr:uid="{43E55D7D-962B-49EB-8326-12C4798612A5}"/>
    <hyperlink ref="AC16" r:id="rId19" xr:uid="{E759D215-EAFC-4464-9BB0-DC339187F020}"/>
    <hyperlink ref="AC18" r:id="rId20" xr:uid="{1F739614-C227-4095-B480-CB5C680999F6}"/>
    <hyperlink ref="AC20" r:id="rId21" xr:uid="{1B34D679-C7E9-43F1-ADD5-4900F4C3C3CE}"/>
    <hyperlink ref="AC27" r:id="rId22" xr:uid="{E4F3F295-96D2-46F9-8960-E305C9E95D55}"/>
    <hyperlink ref="AC28" r:id="rId23" xr:uid="{E5D6130D-6228-427D-878C-D33C06C31079}"/>
    <hyperlink ref="AC30" r:id="rId24" xr:uid="{72B00DEB-B2CD-4F48-A908-98920F5D99EE}"/>
    <hyperlink ref="AC42" r:id="rId25" xr:uid="{E3D2E558-26BC-4AD7-9022-078E83D58892}"/>
    <hyperlink ref="AC52" r:id="rId26" xr:uid="{BB19ED58-0210-4F9D-BB36-EA8420AF7C08}"/>
    <hyperlink ref="AC54" r:id="rId27" xr:uid="{D807D010-6C29-4ADB-B9FF-911CFC1DCF78}"/>
    <hyperlink ref="AC59" r:id="rId28" xr:uid="{DA385162-2BD7-4A6B-B1DC-54CFB6A533C2}"/>
  </hyperlinks>
  <pageMargins left="0.7" right="0.7" top="0.75" bottom="0.75" header="0.3" footer="0.3"/>
  <legacyDrawing r:id="rId2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8E33-F1CA-4A53-8100-2ED7C61611B7}">
  <dimension ref="A1:T51"/>
  <sheetViews>
    <sheetView topLeftCell="A4" workbookViewId="0">
      <selection activeCell="E21" sqref="E21:H21"/>
    </sheetView>
  </sheetViews>
  <sheetFormatPr defaultRowHeight="15.95"/>
  <cols>
    <col min="1" max="1" width="39.375" customWidth="1"/>
  </cols>
  <sheetData>
    <row r="1" spans="1:19">
      <c r="A1" s="283" t="s">
        <v>103</v>
      </c>
      <c r="B1" s="284" t="s">
        <v>104</v>
      </c>
      <c r="C1" s="284" t="s">
        <v>338</v>
      </c>
      <c r="D1" s="284" t="s">
        <v>264</v>
      </c>
      <c r="E1" s="285" t="s">
        <v>339</v>
      </c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</row>
    <row r="2" spans="1:19">
      <c r="A2" s="283"/>
      <c r="B2" s="284"/>
      <c r="C2" s="284"/>
      <c r="D2" s="284"/>
      <c r="E2" s="285" t="s">
        <v>340</v>
      </c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</row>
    <row r="3" spans="1:19">
      <c r="A3" s="283"/>
      <c r="B3" s="284"/>
      <c r="C3" s="284"/>
      <c r="D3" s="284"/>
      <c r="E3" s="286" t="s">
        <v>267</v>
      </c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</row>
    <row r="4" spans="1:19">
      <c r="A4" s="283"/>
      <c r="B4" s="284"/>
      <c r="C4" s="284"/>
      <c r="D4" s="284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</row>
    <row r="5" spans="1:19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</row>
    <row r="6" spans="1:19">
      <c r="A6" s="275" t="s">
        <v>6</v>
      </c>
      <c r="B6" s="275" t="s">
        <v>113</v>
      </c>
      <c r="C6" s="275" t="s">
        <v>9</v>
      </c>
      <c r="D6" s="277" t="s">
        <v>341</v>
      </c>
      <c r="E6" s="278"/>
      <c r="F6" s="278"/>
      <c r="G6" s="278"/>
      <c r="H6" s="278"/>
      <c r="I6" s="279" t="s">
        <v>342</v>
      </c>
      <c r="J6" s="280"/>
      <c r="K6" s="280"/>
      <c r="L6" s="280"/>
      <c r="M6" s="280"/>
      <c r="N6" s="281" t="s">
        <v>343</v>
      </c>
      <c r="O6" s="282"/>
      <c r="P6" s="282"/>
      <c r="Q6" s="282"/>
      <c r="R6" s="273" t="s">
        <v>271</v>
      </c>
      <c r="S6" s="274"/>
    </row>
    <row r="7" spans="1:19" ht="44.1">
      <c r="A7" s="276"/>
      <c r="B7" s="276"/>
      <c r="C7" s="276"/>
      <c r="D7" s="212" t="s">
        <v>10</v>
      </c>
      <c r="E7" s="212" t="s">
        <v>11</v>
      </c>
      <c r="F7" s="212" t="s">
        <v>12</v>
      </c>
      <c r="G7" s="212" t="s">
        <v>13</v>
      </c>
      <c r="H7" s="212" t="s">
        <v>272</v>
      </c>
      <c r="I7" s="213" t="s">
        <v>10</v>
      </c>
      <c r="J7" s="213" t="s">
        <v>11</v>
      </c>
      <c r="K7" s="213" t="s">
        <v>273</v>
      </c>
      <c r="L7" s="213" t="s">
        <v>13</v>
      </c>
      <c r="M7" s="213" t="s">
        <v>272</v>
      </c>
      <c r="N7" s="214" t="s">
        <v>11</v>
      </c>
      <c r="O7" s="214" t="s">
        <v>12</v>
      </c>
      <c r="P7" s="214" t="s">
        <v>13</v>
      </c>
      <c r="Q7" s="214" t="s">
        <v>272</v>
      </c>
      <c r="R7" s="216" t="s">
        <v>344</v>
      </c>
      <c r="S7" s="216" t="s">
        <v>345</v>
      </c>
    </row>
    <row r="8" spans="1:19">
      <c r="A8" s="205" t="s">
        <v>22</v>
      </c>
      <c r="B8" s="206">
        <v>8</v>
      </c>
      <c r="C8" s="206" t="s">
        <v>24</v>
      </c>
      <c r="D8" s="207" t="s">
        <v>25</v>
      </c>
      <c r="E8" s="207">
        <v>33</v>
      </c>
      <c r="F8" s="207">
        <v>4.8550000000000004</v>
      </c>
      <c r="G8" s="207">
        <v>86.6</v>
      </c>
      <c r="H8" s="207">
        <v>357.38</v>
      </c>
      <c r="I8" s="215" t="s">
        <v>25</v>
      </c>
      <c r="J8" s="215">
        <v>63</v>
      </c>
      <c r="K8" s="215">
        <v>4885.2299999999996</v>
      </c>
      <c r="L8" s="215">
        <v>95.4</v>
      </c>
      <c r="M8" s="215">
        <v>611.57000000000005</v>
      </c>
      <c r="N8" s="208">
        <v>35</v>
      </c>
      <c r="O8" s="208">
        <v>4.6379999999999999</v>
      </c>
      <c r="P8" s="208">
        <v>86.68</v>
      </c>
      <c r="Q8" s="208">
        <v>377.48</v>
      </c>
      <c r="R8" s="210">
        <v>1.056</v>
      </c>
      <c r="S8" s="210">
        <f>Q8/M8</f>
        <v>0.61723106103961933</v>
      </c>
    </row>
    <row r="9" spans="1:19">
      <c r="A9" s="205" t="s">
        <v>29</v>
      </c>
      <c r="B9" s="206">
        <v>1</v>
      </c>
      <c r="C9" s="206" t="s">
        <v>24</v>
      </c>
      <c r="D9" s="207" t="s">
        <v>25</v>
      </c>
      <c r="E9" s="207">
        <v>524</v>
      </c>
      <c r="F9" s="207">
        <v>4.9779999999999998</v>
      </c>
      <c r="G9" s="207">
        <v>54.13</v>
      </c>
      <c r="H9" s="207">
        <v>8742.75</v>
      </c>
      <c r="I9" s="215" t="s">
        <v>25</v>
      </c>
      <c r="J9" s="215">
        <v>555</v>
      </c>
      <c r="K9" s="215">
        <v>4859.08</v>
      </c>
      <c r="L9" s="215">
        <v>82.11</v>
      </c>
      <c r="M9" s="215">
        <v>5932.79</v>
      </c>
      <c r="N9" s="208">
        <v>360</v>
      </c>
      <c r="O9" s="208">
        <v>3.589</v>
      </c>
      <c r="P9" s="208">
        <v>42.82</v>
      </c>
      <c r="Q9" s="208">
        <v>7525.75</v>
      </c>
      <c r="R9" s="210">
        <v>0.86099999999999999</v>
      </c>
      <c r="S9" s="210">
        <f t="shared" ref="S9:S31" si="0">Q9/M9</f>
        <v>1.2685009919447681</v>
      </c>
    </row>
    <row r="10" spans="1:19">
      <c r="A10" s="205" t="s">
        <v>30</v>
      </c>
      <c r="B10" s="206">
        <v>3</v>
      </c>
      <c r="C10" s="206" t="s">
        <v>24</v>
      </c>
      <c r="D10" s="207" t="s">
        <v>25</v>
      </c>
      <c r="E10" s="207">
        <v>90</v>
      </c>
      <c r="F10" s="207">
        <v>3.5089999999999999</v>
      </c>
      <c r="G10" s="207">
        <v>99.13</v>
      </c>
      <c r="H10" s="207">
        <v>867.23</v>
      </c>
      <c r="I10" s="215" t="s">
        <v>25</v>
      </c>
      <c r="J10" s="215">
        <v>200</v>
      </c>
      <c r="K10" s="215">
        <v>4937.9799999999996</v>
      </c>
      <c r="L10" s="215">
        <v>94.13</v>
      </c>
      <c r="M10" s="215">
        <v>1897</v>
      </c>
      <c r="N10" s="208">
        <v>93</v>
      </c>
      <c r="O10" s="208">
        <v>3.5219999999999998</v>
      </c>
      <c r="P10" s="208">
        <v>99.86</v>
      </c>
      <c r="Q10" s="208">
        <v>880.39</v>
      </c>
      <c r="R10" s="210">
        <v>1.0149999999999999</v>
      </c>
      <c r="S10" s="210">
        <f t="shared" si="0"/>
        <v>0.46409594095940959</v>
      </c>
    </row>
    <row r="11" spans="1:19">
      <c r="A11" s="205" t="s">
        <v>31</v>
      </c>
      <c r="B11" s="206">
        <v>70</v>
      </c>
      <c r="C11" s="206" t="s">
        <v>24</v>
      </c>
      <c r="D11" s="207" t="s">
        <v>32</v>
      </c>
      <c r="E11" s="207">
        <v>1</v>
      </c>
      <c r="F11" s="207">
        <v>1.796</v>
      </c>
      <c r="G11" s="207">
        <v>168.84</v>
      </c>
      <c r="H11" s="207">
        <v>5.87</v>
      </c>
      <c r="I11" s="215" t="s">
        <v>34</v>
      </c>
      <c r="J11" s="215">
        <v>1</v>
      </c>
      <c r="K11" s="215">
        <v>1693.11</v>
      </c>
      <c r="L11" s="215">
        <v>123.14</v>
      </c>
      <c r="M11" s="215">
        <v>8.0500000000000007</v>
      </c>
      <c r="N11" s="208">
        <v>1</v>
      </c>
      <c r="O11" s="208">
        <v>1.79</v>
      </c>
      <c r="P11" s="208">
        <v>168.67</v>
      </c>
      <c r="Q11" s="208">
        <v>5.87</v>
      </c>
      <c r="R11" s="210">
        <v>1</v>
      </c>
      <c r="S11" s="210">
        <f t="shared" si="0"/>
        <v>0.72919254658385091</v>
      </c>
    </row>
    <row r="12" spans="1:19">
      <c r="A12" s="205" t="s">
        <v>36</v>
      </c>
      <c r="B12" s="206">
        <v>17</v>
      </c>
      <c r="C12" s="206" t="s">
        <v>24</v>
      </c>
      <c r="D12" s="207" t="s">
        <v>32</v>
      </c>
      <c r="E12" s="207">
        <v>2</v>
      </c>
      <c r="F12" s="207">
        <v>1.1439999999999999</v>
      </c>
      <c r="G12" s="207">
        <v>85.78</v>
      </c>
      <c r="H12" s="207">
        <v>23.03</v>
      </c>
      <c r="I12" s="215" t="s">
        <v>34</v>
      </c>
      <c r="J12" s="215">
        <v>2</v>
      </c>
      <c r="K12" s="215">
        <v>1.2949999999999999</v>
      </c>
      <c r="L12" s="215">
        <v>97.04</v>
      </c>
      <c r="M12" s="215">
        <v>20.36</v>
      </c>
      <c r="N12" s="208">
        <v>3</v>
      </c>
      <c r="O12" s="208">
        <v>1.581</v>
      </c>
      <c r="P12" s="208">
        <v>99.74</v>
      </c>
      <c r="Q12" s="208">
        <v>29.64</v>
      </c>
      <c r="R12" s="210">
        <v>1.2869999999999999</v>
      </c>
      <c r="S12" s="210">
        <f t="shared" si="0"/>
        <v>1.4557956777996071</v>
      </c>
    </row>
    <row r="13" spans="1:19">
      <c r="A13" s="205" t="s">
        <v>40</v>
      </c>
      <c r="B13" s="206" t="s">
        <v>24</v>
      </c>
      <c r="C13" s="206" t="s">
        <v>24</v>
      </c>
      <c r="D13" s="207" t="s">
        <v>32</v>
      </c>
      <c r="E13" s="207">
        <v>4</v>
      </c>
      <c r="F13" s="207">
        <v>2.556</v>
      </c>
      <c r="G13" s="207">
        <v>98.97</v>
      </c>
      <c r="H13" s="207">
        <v>39.53</v>
      </c>
      <c r="I13" s="215" t="s">
        <v>34</v>
      </c>
      <c r="J13" s="215">
        <v>8</v>
      </c>
      <c r="K13" s="215">
        <v>3.7770000000000001</v>
      </c>
      <c r="L13" s="215">
        <v>98.87</v>
      </c>
      <c r="M13" s="215">
        <v>78.069999999999993</v>
      </c>
      <c r="N13" s="208">
        <v>4</v>
      </c>
      <c r="O13" s="208">
        <v>2.6120000000000001</v>
      </c>
      <c r="P13" s="208">
        <v>94.1</v>
      </c>
      <c r="Q13" s="208">
        <v>41.42</v>
      </c>
      <c r="R13" s="210">
        <v>1.048</v>
      </c>
      <c r="S13" s="210">
        <f t="shared" si="0"/>
        <v>0.53054950685282443</v>
      </c>
    </row>
    <row r="14" spans="1:19">
      <c r="A14" s="205" t="s">
        <v>42</v>
      </c>
      <c r="B14" s="206" t="s">
        <v>24</v>
      </c>
      <c r="C14" s="206" t="s">
        <v>24</v>
      </c>
      <c r="D14" s="207" t="s">
        <v>43</v>
      </c>
      <c r="E14" s="207">
        <v>1</v>
      </c>
      <c r="F14" s="207">
        <v>1.47</v>
      </c>
      <c r="G14" s="207">
        <v>152.22999999999999</v>
      </c>
      <c r="H14" s="207">
        <v>6.51</v>
      </c>
      <c r="I14" s="215" t="s">
        <v>44</v>
      </c>
      <c r="J14" s="215">
        <v>1</v>
      </c>
      <c r="K14" s="215">
        <v>1171.8699999999999</v>
      </c>
      <c r="L14" s="215">
        <v>102.5</v>
      </c>
      <c r="M14" s="215">
        <v>9.67</v>
      </c>
      <c r="N14" s="208">
        <v>1</v>
      </c>
      <c r="O14" s="208">
        <v>1.431</v>
      </c>
      <c r="P14" s="208">
        <v>152.80000000000001</v>
      </c>
      <c r="Q14" s="208">
        <v>6.49</v>
      </c>
      <c r="R14" s="210">
        <v>0.997</v>
      </c>
      <c r="S14" s="210">
        <f t="shared" si="0"/>
        <v>0.67114788004136505</v>
      </c>
    </row>
    <row r="15" spans="1:19">
      <c r="A15" s="205" t="s">
        <v>46</v>
      </c>
      <c r="B15" s="206" t="s">
        <v>24</v>
      </c>
      <c r="C15" s="206" t="s">
        <v>24</v>
      </c>
      <c r="D15" s="207" t="s">
        <v>32</v>
      </c>
      <c r="E15" s="207">
        <v>1</v>
      </c>
      <c r="F15" s="207">
        <v>1.194</v>
      </c>
      <c r="G15" s="207">
        <v>85.59</v>
      </c>
      <c r="H15" s="207">
        <v>11.54</v>
      </c>
      <c r="I15" s="215" t="s">
        <v>34</v>
      </c>
      <c r="J15" s="215">
        <v>2</v>
      </c>
      <c r="K15" s="215">
        <v>1752.57</v>
      </c>
      <c r="L15" s="215">
        <v>83.59</v>
      </c>
      <c r="M15" s="215">
        <v>23.39</v>
      </c>
      <c r="N15" s="208">
        <v>1</v>
      </c>
      <c r="O15" s="208">
        <v>1.1930000000000001</v>
      </c>
      <c r="P15" s="208">
        <v>85.46</v>
      </c>
      <c r="Q15" s="208">
        <v>11.56</v>
      </c>
      <c r="R15" s="210">
        <v>1.002</v>
      </c>
      <c r="S15" s="210">
        <f t="shared" si="0"/>
        <v>0.49422830269345874</v>
      </c>
    </row>
    <row r="16" spans="1:19">
      <c r="A16" s="205" t="s">
        <v>51</v>
      </c>
      <c r="B16" s="206">
        <v>3</v>
      </c>
      <c r="C16" s="206" t="s">
        <v>24</v>
      </c>
      <c r="D16" s="207" t="s">
        <v>25</v>
      </c>
      <c r="E16" s="207">
        <v>813</v>
      </c>
      <c r="F16" s="207">
        <v>3.66</v>
      </c>
      <c r="G16" s="207">
        <v>99.73</v>
      </c>
      <c r="H16" s="207">
        <v>7810.31</v>
      </c>
      <c r="I16" s="215" t="s">
        <v>25</v>
      </c>
      <c r="J16" s="215">
        <v>640</v>
      </c>
      <c r="K16" s="215">
        <v>3.4249999999999998</v>
      </c>
      <c r="L16" s="215">
        <v>99.81</v>
      </c>
      <c r="M16" s="215">
        <v>5575.87</v>
      </c>
      <c r="N16" s="208">
        <v>548</v>
      </c>
      <c r="O16" s="208">
        <v>2.3220000000000001</v>
      </c>
      <c r="P16" s="208">
        <v>66.61</v>
      </c>
      <c r="Q16" s="208">
        <v>6667.22</v>
      </c>
      <c r="R16" s="210">
        <v>0.85399999999999998</v>
      </c>
      <c r="S16" s="210">
        <f t="shared" si="0"/>
        <v>1.195727303541869</v>
      </c>
    </row>
    <row r="17" spans="1:20">
      <c r="A17" s="205" t="s">
        <v>52</v>
      </c>
      <c r="B17" s="206" t="s">
        <v>24</v>
      </c>
      <c r="C17" s="206" t="s">
        <v>24</v>
      </c>
      <c r="D17" s="207" t="s">
        <v>25</v>
      </c>
      <c r="E17" s="207">
        <v>142</v>
      </c>
      <c r="F17" s="207">
        <v>4.9509999999999996</v>
      </c>
      <c r="G17" s="207">
        <v>71.98</v>
      </c>
      <c r="H17" s="207">
        <v>1823.23</v>
      </c>
      <c r="I17" s="215" t="s">
        <v>25</v>
      </c>
      <c r="J17" s="215">
        <v>152</v>
      </c>
      <c r="K17" s="215">
        <v>4.9870000000000001</v>
      </c>
      <c r="L17" s="215">
        <v>84.07</v>
      </c>
      <c r="M17" s="215">
        <v>1600.89</v>
      </c>
      <c r="N17" s="208">
        <v>145</v>
      </c>
      <c r="O17" s="208">
        <v>4.9909999999999997</v>
      </c>
      <c r="P17" s="208">
        <v>72.86</v>
      </c>
      <c r="Q17" s="208">
        <v>1779.28</v>
      </c>
      <c r="R17" s="210">
        <v>0.97599999999999998</v>
      </c>
      <c r="S17" s="210">
        <f t="shared" si="0"/>
        <v>1.1114317660801178</v>
      </c>
    </row>
    <row r="18" spans="1:20">
      <c r="A18" s="205" t="s">
        <v>54</v>
      </c>
      <c r="B18" s="206">
        <v>12</v>
      </c>
      <c r="C18" s="206" t="s">
        <v>24</v>
      </c>
      <c r="D18" s="207" t="s">
        <v>43</v>
      </c>
      <c r="E18" s="207">
        <v>23</v>
      </c>
      <c r="F18" s="207">
        <v>4.7699999999999996</v>
      </c>
      <c r="G18" s="207">
        <v>88.44</v>
      </c>
      <c r="H18" s="207">
        <v>245.45</v>
      </c>
      <c r="I18" s="215" t="s">
        <v>44</v>
      </c>
      <c r="J18" s="215">
        <v>22</v>
      </c>
      <c r="K18" s="215">
        <v>1.806</v>
      </c>
      <c r="L18" s="215">
        <v>99.77</v>
      </c>
      <c r="M18" s="215">
        <v>210.46</v>
      </c>
      <c r="N18" s="208">
        <v>25</v>
      </c>
      <c r="O18" s="208">
        <v>4.883</v>
      </c>
      <c r="P18" s="208">
        <v>89.22</v>
      </c>
      <c r="Q18" s="208">
        <v>261.55</v>
      </c>
      <c r="R18" s="210">
        <v>1.0660000000000001</v>
      </c>
      <c r="S18" s="210">
        <f t="shared" si="0"/>
        <v>1.2427539674997625</v>
      </c>
    </row>
    <row r="19" spans="1:20">
      <c r="A19" s="205" t="s">
        <v>57</v>
      </c>
      <c r="B19" s="206" t="s">
        <v>24</v>
      </c>
      <c r="C19" s="206" t="s">
        <v>24</v>
      </c>
      <c r="D19" s="207" t="s">
        <v>25</v>
      </c>
      <c r="E19" s="207">
        <v>20</v>
      </c>
      <c r="F19" s="207">
        <v>1.89</v>
      </c>
      <c r="G19" s="207">
        <v>99.27</v>
      </c>
      <c r="H19" s="207">
        <v>190.04</v>
      </c>
      <c r="I19" s="215" t="s">
        <v>25</v>
      </c>
      <c r="J19" s="215">
        <v>73</v>
      </c>
      <c r="K19" s="215">
        <v>2721.22</v>
      </c>
      <c r="L19" s="215">
        <v>98.65</v>
      </c>
      <c r="M19" s="215">
        <v>131.36000000000001</v>
      </c>
      <c r="N19" s="208">
        <v>21</v>
      </c>
      <c r="O19" s="208">
        <v>2.0169999999999999</v>
      </c>
      <c r="P19" s="208">
        <v>99.88</v>
      </c>
      <c r="Q19" s="208">
        <v>198.46</v>
      </c>
      <c r="R19" s="210">
        <v>1.044</v>
      </c>
      <c r="S19" s="210">
        <f t="shared" si="0"/>
        <v>1.5108099878197319</v>
      </c>
    </row>
    <row r="20" spans="1:20">
      <c r="A20" s="205" t="s">
        <v>58</v>
      </c>
      <c r="B20" s="206">
        <v>14</v>
      </c>
      <c r="C20" s="206" t="s">
        <v>24</v>
      </c>
      <c r="D20" s="207" t="s">
        <v>43</v>
      </c>
      <c r="E20" s="207">
        <v>19</v>
      </c>
      <c r="F20" s="207">
        <v>4.3339999999999996</v>
      </c>
      <c r="G20" s="207">
        <v>87.64</v>
      </c>
      <c r="H20" s="207">
        <v>204.58</v>
      </c>
      <c r="I20" s="215" t="s">
        <v>44</v>
      </c>
      <c r="J20" s="215">
        <v>15</v>
      </c>
      <c r="K20" s="215">
        <v>4890.55</v>
      </c>
      <c r="L20" s="215">
        <v>71.680000000000007</v>
      </c>
      <c r="M20" s="215">
        <v>200.5</v>
      </c>
      <c r="N20" s="208">
        <v>19</v>
      </c>
      <c r="O20" s="208">
        <v>4.8</v>
      </c>
      <c r="P20" s="208">
        <v>86.68</v>
      </c>
      <c r="Q20" s="208">
        <v>208.03</v>
      </c>
      <c r="R20" s="210">
        <v>1.0169999999999999</v>
      </c>
      <c r="S20" s="210">
        <f t="shared" si="0"/>
        <v>1.0375561097256858</v>
      </c>
    </row>
    <row r="21" spans="1:20" ht="15.75" customHeight="1">
      <c r="A21" s="205" t="s">
        <v>59</v>
      </c>
      <c r="B21" s="206">
        <v>5</v>
      </c>
      <c r="C21" s="206" t="s">
        <v>24</v>
      </c>
      <c r="D21" s="207" t="s">
        <v>25</v>
      </c>
      <c r="E21" s="207">
        <v>63</v>
      </c>
      <c r="F21" s="207">
        <v>2.8370000000000002</v>
      </c>
      <c r="G21" s="207">
        <v>99.03</v>
      </c>
      <c r="H21" s="207">
        <v>607.67999999999995</v>
      </c>
      <c r="I21" s="215" t="s">
        <v>25</v>
      </c>
      <c r="J21" s="215">
        <v>89</v>
      </c>
      <c r="K21" s="215">
        <v>4.9489999999999998</v>
      </c>
      <c r="L21" s="215">
        <v>85.14</v>
      </c>
      <c r="M21" s="215">
        <v>546.47</v>
      </c>
      <c r="N21" s="208">
        <v>64</v>
      </c>
      <c r="O21" s="208">
        <v>2.7130000000000001</v>
      </c>
      <c r="P21" s="208">
        <v>99.59</v>
      </c>
      <c r="Q21" s="208">
        <v>614.35</v>
      </c>
      <c r="R21" s="210">
        <v>1.0109999999999999</v>
      </c>
      <c r="S21" s="210">
        <f t="shared" si="0"/>
        <v>1.1242154189616995</v>
      </c>
      <c r="T21" s="82" t="s">
        <v>346</v>
      </c>
    </row>
    <row r="22" spans="1:20">
      <c r="A22" s="205" t="s">
        <v>60</v>
      </c>
      <c r="B22" s="206">
        <v>14</v>
      </c>
      <c r="C22" s="206" t="s">
        <v>24</v>
      </c>
      <c r="D22" s="207" t="s">
        <v>43</v>
      </c>
      <c r="E22" s="207">
        <v>11</v>
      </c>
      <c r="F22" s="207">
        <v>2.391</v>
      </c>
      <c r="G22" s="207">
        <v>98.79</v>
      </c>
      <c r="H22" s="207">
        <v>106.54</v>
      </c>
      <c r="I22" s="215" t="s">
        <v>44</v>
      </c>
      <c r="J22" s="215">
        <v>15</v>
      </c>
      <c r="K22" s="215">
        <v>4775.6099999999997</v>
      </c>
      <c r="L22" s="215">
        <v>67.349999999999994</v>
      </c>
      <c r="M22" s="215">
        <v>220.11</v>
      </c>
      <c r="N22" s="208">
        <v>11</v>
      </c>
      <c r="O22" s="208">
        <v>2.5950000000000002</v>
      </c>
      <c r="P22" s="208">
        <v>97.88</v>
      </c>
      <c r="Q22" s="208">
        <v>106.38</v>
      </c>
      <c r="R22" s="210">
        <v>0.998</v>
      </c>
      <c r="S22" s="210">
        <f t="shared" si="0"/>
        <v>0.48330380264413242</v>
      </c>
    </row>
    <row r="23" spans="1:20">
      <c r="A23" s="205" t="s">
        <v>61</v>
      </c>
      <c r="B23" s="206">
        <v>30</v>
      </c>
      <c r="C23" s="206" t="s">
        <v>24</v>
      </c>
      <c r="D23" s="207" t="s">
        <v>43</v>
      </c>
      <c r="E23" s="207">
        <v>49</v>
      </c>
      <c r="F23" s="207">
        <v>3.97</v>
      </c>
      <c r="G23" s="207">
        <v>96.98</v>
      </c>
      <c r="H23" s="207">
        <v>478.95</v>
      </c>
      <c r="I23" s="215" t="s">
        <v>44</v>
      </c>
      <c r="J23" s="215">
        <v>19</v>
      </c>
      <c r="K23" s="215">
        <v>2898.24</v>
      </c>
      <c r="L23" s="215">
        <v>99.37</v>
      </c>
      <c r="M23" s="215">
        <v>203.45</v>
      </c>
      <c r="N23" s="208">
        <v>50</v>
      </c>
      <c r="O23" s="208">
        <v>4.0039999999999996</v>
      </c>
      <c r="P23" s="208">
        <v>98.58</v>
      </c>
      <c r="Q23" s="208">
        <v>478.07</v>
      </c>
      <c r="R23" s="210">
        <v>0.998</v>
      </c>
      <c r="S23" s="210">
        <f t="shared" si="0"/>
        <v>2.3498156795281395</v>
      </c>
    </row>
    <row r="24" spans="1:20">
      <c r="A24" s="205" t="s">
        <v>63</v>
      </c>
      <c r="B24" s="206">
        <v>30</v>
      </c>
      <c r="C24" s="206" t="s">
        <v>24</v>
      </c>
      <c r="D24" s="207" t="s">
        <v>43</v>
      </c>
      <c r="E24" s="207">
        <v>17</v>
      </c>
      <c r="F24" s="207">
        <v>2.319</v>
      </c>
      <c r="G24" s="207">
        <v>98.46</v>
      </c>
      <c r="H24" s="207">
        <v>167.9</v>
      </c>
      <c r="I24" s="215" t="s">
        <v>44</v>
      </c>
      <c r="J24" s="215">
        <v>23</v>
      </c>
      <c r="K24" s="215">
        <v>1.899</v>
      </c>
      <c r="L24" s="215">
        <v>98.89</v>
      </c>
      <c r="M24" s="215">
        <v>228.5</v>
      </c>
      <c r="N24" s="208">
        <v>18</v>
      </c>
      <c r="O24" s="208">
        <v>2.4279999999999999</v>
      </c>
      <c r="P24" s="208">
        <v>99.6</v>
      </c>
      <c r="Q24" s="208">
        <v>170.07</v>
      </c>
      <c r="R24" s="210">
        <v>1.0129999999999999</v>
      </c>
      <c r="S24" s="210">
        <f t="shared" si="0"/>
        <v>0.74428884026258202</v>
      </c>
    </row>
    <row r="25" spans="1:20">
      <c r="A25" s="205" t="s">
        <v>67</v>
      </c>
      <c r="B25" s="206" t="s">
        <v>24</v>
      </c>
      <c r="C25" s="206" t="s">
        <v>24</v>
      </c>
      <c r="D25" s="207" t="s">
        <v>25</v>
      </c>
      <c r="E25" s="207">
        <v>330</v>
      </c>
      <c r="F25" s="207">
        <v>4.9729999999999999</v>
      </c>
      <c r="G25" s="207">
        <v>86.36</v>
      </c>
      <c r="H25" s="207">
        <v>3517.53</v>
      </c>
      <c r="I25" s="215" t="s">
        <v>25</v>
      </c>
      <c r="J25" s="215">
        <v>337</v>
      </c>
      <c r="K25" s="215">
        <v>2742.64</v>
      </c>
      <c r="L25" s="215">
        <v>96.42</v>
      </c>
      <c r="M25" s="215">
        <v>2775.37</v>
      </c>
      <c r="N25" s="208">
        <v>330</v>
      </c>
      <c r="O25" s="208">
        <v>4.9569999999999999</v>
      </c>
      <c r="P25" s="208">
        <v>85.89</v>
      </c>
      <c r="Q25" s="208">
        <v>3530.17</v>
      </c>
      <c r="R25" s="210">
        <v>1.004</v>
      </c>
      <c r="S25" s="210">
        <f t="shared" si="0"/>
        <v>1.2719637381682443</v>
      </c>
    </row>
    <row r="26" spans="1:20">
      <c r="A26" s="205" t="s">
        <v>68</v>
      </c>
      <c r="B26" s="206" t="s">
        <v>24</v>
      </c>
      <c r="C26" s="206" t="s">
        <v>24</v>
      </c>
      <c r="D26" s="207" t="s">
        <v>25</v>
      </c>
      <c r="E26" s="207">
        <v>99</v>
      </c>
      <c r="F26" s="207">
        <v>4.9960000000000004</v>
      </c>
      <c r="G26" s="207">
        <v>74.930000000000007</v>
      </c>
      <c r="H26" s="207">
        <v>1201.3</v>
      </c>
      <c r="I26" s="215" t="s">
        <v>25</v>
      </c>
      <c r="J26" s="215">
        <v>177</v>
      </c>
      <c r="K26" s="215">
        <v>3444.43</v>
      </c>
      <c r="L26" s="215">
        <v>95.42</v>
      </c>
      <c r="M26" s="215">
        <v>1307.1300000000001</v>
      </c>
      <c r="N26" s="208">
        <v>103</v>
      </c>
      <c r="O26" s="208">
        <v>4.76</v>
      </c>
      <c r="P26" s="208">
        <v>76.31</v>
      </c>
      <c r="Q26" s="208">
        <v>1213.6099999999999</v>
      </c>
      <c r="R26" s="210">
        <v>1.01</v>
      </c>
      <c r="S26" s="210">
        <f t="shared" si="0"/>
        <v>0.92845394107701595</v>
      </c>
    </row>
    <row r="27" spans="1:20">
      <c r="A27" s="205" t="s">
        <v>69</v>
      </c>
      <c r="B27" s="206" t="s">
        <v>24</v>
      </c>
      <c r="C27" s="206" t="s">
        <v>24</v>
      </c>
      <c r="D27" s="207" t="s">
        <v>25</v>
      </c>
      <c r="E27" s="207">
        <v>35</v>
      </c>
      <c r="F27" s="207">
        <v>4.7939999999999996</v>
      </c>
      <c r="G27" s="207">
        <v>87.41</v>
      </c>
      <c r="H27" s="207">
        <v>375.58</v>
      </c>
      <c r="I27" s="215" t="s">
        <v>25</v>
      </c>
      <c r="J27" s="215">
        <v>138</v>
      </c>
      <c r="K27" s="215">
        <v>4278.04</v>
      </c>
      <c r="L27" s="215">
        <v>98.52</v>
      </c>
      <c r="M27" s="215">
        <v>609.70000000000005</v>
      </c>
      <c r="N27" s="208">
        <v>41</v>
      </c>
      <c r="O27" s="208">
        <v>4.8310000000000004</v>
      </c>
      <c r="P27" s="208">
        <v>89.52</v>
      </c>
      <c r="Q27" s="208">
        <v>421.16</v>
      </c>
      <c r="R27" s="210">
        <v>1.121</v>
      </c>
      <c r="S27" s="210">
        <f t="shared" si="0"/>
        <v>0.69076595046744305</v>
      </c>
    </row>
    <row r="28" spans="1:20">
      <c r="A28" s="205" t="s">
        <v>71</v>
      </c>
      <c r="B28" s="206" t="s">
        <v>24</v>
      </c>
      <c r="C28" s="206" t="s">
        <v>24</v>
      </c>
      <c r="D28" s="207" t="s">
        <v>25</v>
      </c>
      <c r="E28" s="207">
        <v>48</v>
      </c>
      <c r="F28" s="207">
        <v>3.448</v>
      </c>
      <c r="G28" s="207">
        <v>99.67</v>
      </c>
      <c r="H28" s="207">
        <v>458.86</v>
      </c>
      <c r="I28" s="215" t="s">
        <v>25</v>
      </c>
      <c r="J28" s="215">
        <v>56</v>
      </c>
      <c r="K28" s="215">
        <v>4.7450000000000001</v>
      </c>
      <c r="L28" s="215">
        <v>81.36</v>
      </c>
      <c r="M28" s="215">
        <v>476.17</v>
      </c>
      <c r="N28" s="208">
        <v>50</v>
      </c>
      <c r="O28" s="208">
        <v>3.4609999999999999</v>
      </c>
      <c r="P28" s="208">
        <v>99.6</v>
      </c>
      <c r="Q28" s="208">
        <v>478.82</v>
      </c>
      <c r="R28" s="210">
        <v>1.0429999999999999</v>
      </c>
      <c r="S28" s="210">
        <f t="shared" si="0"/>
        <v>1.0055652393052901</v>
      </c>
    </row>
    <row r="29" spans="1:20">
      <c r="A29" s="205" t="s">
        <v>72</v>
      </c>
      <c r="B29" s="206">
        <v>7</v>
      </c>
      <c r="C29" s="206" t="s">
        <v>24</v>
      </c>
      <c r="D29" s="207" t="s">
        <v>25</v>
      </c>
      <c r="E29" s="207">
        <v>33</v>
      </c>
      <c r="F29" s="207">
        <v>4.9560000000000004</v>
      </c>
      <c r="G29" s="207">
        <v>79.900000000000006</v>
      </c>
      <c r="H29" s="207">
        <v>379.43</v>
      </c>
      <c r="I29" s="215" t="s">
        <v>25</v>
      </c>
      <c r="J29" s="215">
        <v>67</v>
      </c>
      <c r="K29" s="215">
        <v>4817.9399999999996</v>
      </c>
      <c r="L29" s="215">
        <v>92.04</v>
      </c>
      <c r="M29" s="215">
        <v>624.17999999999995</v>
      </c>
      <c r="N29" s="208">
        <v>34</v>
      </c>
      <c r="O29" s="208">
        <v>4.681</v>
      </c>
      <c r="P29" s="208">
        <v>80.3</v>
      </c>
      <c r="Q29" s="208">
        <v>390.16</v>
      </c>
      <c r="R29" s="210">
        <v>1.028</v>
      </c>
      <c r="S29" s="210">
        <f t="shared" si="0"/>
        <v>0.62507609984299406</v>
      </c>
    </row>
    <row r="30" spans="1:20">
      <c r="A30" s="205" t="s">
        <v>74</v>
      </c>
      <c r="B30" s="206" t="s">
        <v>24</v>
      </c>
      <c r="C30" s="206" t="s">
        <v>24</v>
      </c>
      <c r="D30" s="207" t="s">
        <v>25</v>
      </c>
      <c r="E30" s="207">
        <v>172</v>
      </c>
      <c r="F30" s="207">
        <v>4.9930000000000003</v>
      </c>
      <c r="G30" s="207">
        <v>64.25</v>
      </c>
      <c r="H30" s="207">
        <v>2429.1799999999998</v>
      </c>
      <c r="I30" s="215" t="s">
        <v>25</v>
      </c>
      <c r="J30" s="215">
        <v>210</v>
      </c>
      <c r="K30" s="215">
        <v>4.9740000000000002</v>
      </c>
      <c r="L30" s="215">
        <v>89.5</v>
      </c>
      <c r="M30" s="215">
        <v>1842.45</v>
      </c>
      <c r="N30" s="208">
        <v>175</v>
      </c>
      <c r="O30" s="208">
        <v>4.95</v>
      </c>
      <c r="P30" s="208">
        <v>63.97</v>
      </c>
      <c r="Q30" s="208">
        <v>2482.15</v>
      </c>
      <c r="R30" s="210">
        <v>1.022</v>
      </c>
      <c r="S30" s="210">
        <f t="shared" si="0"/>
        <v>1.3472007381475752</v>
      </c>
    </row>
    <row r="31" spans="1:20">
      <c r="A31" s="205" t="s">
        <v>75</v>
      </c>
      <c r="B31" s="206" t="s">
        <v>24</v>
      </c>
      <c r="C31" s="206" t="s">
        <v>24</v>
      </c>
      <c r="D31" s="207" t="s">
        <v>25</v>
      </c>
      <c r="E31" s="207">
        <v>30</v>
      </c>
      <c r="F31" s="207">
        <v>4.7880000000000003</v>
      </c>
      <c r="G31" s="207">
        <v>95.74</v>
      </c>
      <c r="H31" s="207">
        <v>296.98</v>
      </c>
      <c r="I31" s="215" t="s">
        <v>25</v>
      </c>
      <c r="J31" s="215">
        <v>16</v>
      </c>
      <c r="K31" s="215">
        <v>2.004</v>
      </c>
      <c r="L31" s="215">
        <v>99.53</v>
      </c>
      <c r="M31" s="215">
        <v>147.38999999999999</v>
      </c>
      <c r="N31" s="208">
        <v>31</v>
      </c>
      <c r="O31" s="208">
        <v>4.8129999999999997</v>
      </c>
      <c r="P31" s="208">
        <v>95.36</v>
      </c>
      <c r="Q31" s="208">
        <v>301.70999999999998</v>
      </c>
      <c r="R31" s="210">
        <v>1.016</v>
      </c>
      <c r="S31" s="210">
        <f t="shared" si="0"/>
        <v>2.0470181152045592</v>
      </c>
    </row>
    <row r="32" spans="1:20">
      <c r="A32" s="205" t="s">
        <v>77</v>
      </c>
      <c r="B32" s="206" t="s">
        <v>24</v>
      </c>
      <c r="C32" s="206" t="s">
        <v>24</v>
      </c>
      <c r="D32" s="207" t="s">
        <v>43</v>
      </c>
      <c r="E32" s="207">
        <v>76</v>
      </c>
      <c r="F32" s="207">
        <v>4.3879999999999999</v>
      </c>
      <c r="G32" s="207">
        <v>98.7</v>
      </c>
      <c r="H32" s="207">
        <v>736.81</v>
      </c>
      <c r="I32" s="215"/>
      <c r="J32" s="215"/>
      <c r="K32" s="215"/>
      <c r="L32" s="215"/>
      <c r="M32" s="215"/>
      <c r="N32" s="208">
        <v>82</v>
      </c>
      <c r="O32" s="208">
        <v>4.6050000000000004</v>
      </c>
      <c r="P32" s="208">
        <v>99.65</v>
      </c>
      <c r="Q32" s="208">
        <v>783.81</v>
      </c>
      <c r="R32" s="210">
        <v>1.0640000000000001</v>
      </c>
      <c r="S32" s="209"/>
    </row>
    <row r="33" spans="1:19">
      <c r="A33" s="205" t="s">
        <v>80</v>
      </c>
      <c r="B33" s="206">
        <v>1</v>
      </c>
      <c r="C33" s="206" t="s">
        <v>24</v>
      </c>
      <c r="D33" s="207" t="s">
        <v>25</v>
      </c>
      <c r="E33" s="207">
        <v>9</v>
      </c>
      <c r="F33" s="207">
        <v>1.3740000000000001</v>
      </c>
      <c r="G33" s="207">
        <v>74.23</v>
      </c>
      <c r="H33" s="207">
        <v>39.24</v>
      </c>
      <c r="I33" s="215" t="s">
        <v>25</v>
      </c>
      <c r="J33" s="215"/>
      <c r="K33" s="215"/>
      <c r="L33" s="215"/>
      <c r="M33" s="215"/>
      <c r="N33" s="208">
        <v>40</v>
      </c>
      <c r="O33" s="208">
        <v>1.2190000000000001</v>
      </c>
      <c r="P33" s="208">
        <v>86.51</v>
      </c>
      <c r="Q33" s="208">
        <v>165.69</v>
      </c>
      <c r="R33" s="210">
        <v>4.2220000000000004</v>
      </c>
      <c r="S33" s="209"/>
    </row>
    <row r="34" spans="1:19">
      <c r="A34" s="205" t="s">
        <v>84</v>
      </c>
      <c r="B34" s="206">
        <v>8</v>
      </c>
      <c r="C34" s="206" t="s">
        <v>24</v>
      </c>
      <c r="D34" s="207" t="s">
        <v>25</v>
      </c>
      <c r="E34" s="207">
        <v>63</v>
      </c>
      <c r="F34" s="207">
        <v>4.851</v>
      </c>
      <c r="G34" s="207">
        <v>62.15</v>
      </c>
      <c r="H34" s="207">
        <v>864.92</v>
      </c>
      <c r="I34" s="215" t="s">
        <v>25</v>
      </c>
      <c r="J34" s="215">
        <v>156</v>
      </c>
      <c r="K34" s="215">
        <v>4939.28</v>
      </c>
      <c r="L34" s="215">
        <v>96.11</v>
      </c>
      <c r="M34" s="215">
        <v>1463.69</v>
      </c>
      <c r="N34" s="208">
        <v>68</v>
      </c>
      <c r="O34" s="208">
        <v>4.9909999999999997</v>
      </c>
      <c r="P34" s="208">
        <v>63.18</v>
      </c>
      <c r="Q34" s="208">
        <v>916.51</v>
      </c>
      <c r="R34" s="210">
        <v>1.06</v>
      </c>
      <c r="S34" s="210">
        <f t="shared" ref="S34:S45" si="1">Q34/M34</f>
        <v>0.62616401013875889</v>
      </c>
    </row>
    <row r="35" spans="1:19">
      <c r="A35" s="205" t="s">
        <v>86</v>
      </c>
      <c r="B35" s="206">
        <v>1</v>
      </c>
      <c r="C35" s="206" t="s">
        <v>24</v>
      </c>
      <c r="D35" s="207" t="s">
        <v>25</v>
      </c>
      <c r="E35" s="207">
        <v>596</v>
      </c>
      <c r="F35" s="207">
        <v>4.9870000000000001</v>
      </c>
      <c r="G35" s="207">
        <v>55.47</v>
      </c>
      <c r="H35" s="207">
        <v>9759.27</v>
      </c>
      <c r="I35" s="215" t="s">
        <v>25</v>
      </c>
      <c r="J35" s="215">
        <v>816</v>
      </c>
      <c r="K35" s="215">
        <v>4839.4799999999996</v>
      </c>
      <c r="L35" s="215">
        <v>94.5</v>
      </c>
      <c r="M35" s="215">
        <v>7352.74</v>
      </c>
      <c r="N35" s="208">
        <v>360</v>
      </c>
      <c r="O35" s="208">
        <v>3.2360000000000002</v>
      </c>
      <c r="P35" s="208">
        <v>39.25</v>
      </c>
      <c r="Q35" s="208">
        <v>8207.82</v>
      </c>
      <c r="R35" s="210">
        <v>0.84099999999999997</v>
      </c>
      <c r="S35" s="210">
        <f t="shared" si="1"/>
        <v>1.116294061805531</v>
      </c>
    </row>
    <row r="36" spans="1:19">
      <c r="A36" s="205" t="s">
        <v>87</v>
      </c>
      <c r="B36" s="206">
        <v>3</v>
      </c>
      <c r="C36" s="206" t="s">
        <v>24</v>
      </c>
      <c r="D36" s="207" t="s">
        <v>25</v>
      </c>
      <c r="E36" s="207">
        <v>114</v>
      </c>
      <c r="F36" s="207">
        <v>3.298</v>
      </c>
      <c r="G36" s="207">
        <v>98.53</v>
      </c>
      <c r="H36" s="207">
        <v>1110.3399999999999</v>
      </c>
      <c r="I36" s="215" t="s">
        <v>25</v>
      </c>
      <c r="J36" s="215">
        <v>280</v>
      </c>
      <c r="K36" s="215">
        <v>2541.41</v>
      </c>
      <c r="L36" s="215">
        <v>3949.54</v>
      </c>
      <c r="M36" s="215">
        <v>2409.3000000000002</v>
      </c>
      <c r="N36" s="208">
        <v>114</v>
      </c>
      <c r="O36" s="208">
        <v>3.25</v>
      </c>
      <c r="P36" s="208">
        <v>97.82</v>
      </c>
      <c r="Q36" s="208">
        <v>1118.08</v>
      </c>
      <c r="R36" s="210">
        <v>1.0069999999999999</v>
      </c>
      <c r="S36" s="210">
        <f t="shared" si="1"/>
        <v>0.46406840161042617</v>
      </c>
    </row>
    <row r="37" spans="1:19">
      <c r="A37" s="205" t="s">
        <v>88</v>
      </c>
      <c r="B37" s="206">
        <v>70</v>
      </c>
      <c r="C37" s="206" t="s">
        <v>24</v>
      </c>
      <c r="D37" s="207" t="s">
        <v>43</v>
      </c>
      <c r="E37" s="207">
        <v>1</v>
      </c>
      <c r="F37" s="207">
        <v>2.899</v>
      </c>
      <c r="G37" s="207">
        <v>174.44</v>
      </c>
      <c r="H37" s="207">
        <v>5.65</v>
      </c>
      <c r="I37" s="215" t="s">
        <v>44</v>
      </c>
      <c r="J37" s="215">
        <v>1</v>
      </c>
      <c r="K37" s="215">
        <v>3457.87</v>
      </c>
      <c r="L37" s="215">
        <v>3457.87</v>
      </c>
      <c r="M37" s="215">
        <v>8.4</v>
      </c>
      <c r="N37" s="208">
        <v>1</v>
      </c>
      <c r="O37" s="208">
        <v>2.855</v>
      </c>
      <c r="P37" s="208">
        <v>173.51</v>
      </c>
      <c r="Q37" s="208">
        <v>5.68</v>
      </c>
      <c r="R37" s="210">
        <v>1.0049999999999999</v>
      </c>
      <c r="S37" s="210">
        <f t="shared" si="1"/>
        <v>0.67619047619047612</v>
      </c>
    </row>
    <row r="38" spans="1:19">
      <c r="A38" s="205" t="s">
        <v>89</v>
      </c>
      <c r="B38" s="206">
        <v>32</v>
      </c>
      <c r="C38" s="206" t="s">
        <v>24</v>
      </c>
      <c r="D38" s="207" t="s">
        <v>43</v>
      </c>
      <c r="E38" s="207">
        <v>2</v>
      </c>
      <c r="F38" s="207">
        <v>1.042</v>
      </c>
      <c r="G38" s="207">
        <v>91.51</v>
      </c>
      <c r="H38" s="207">
        <v>21.55</v>
      </c>
      <c r="I38" s="215" t="s">
        <v>44</v>
      </c>
      <c r="J38" s="215">
        <v>12</v>
      </c>
      <c r="K38" s="215">
        <v>4938.93</v>
      </c>
      <c r="L38" s="215">
        <v>79.680000000000007</v>
      </c>
      <c r="M38" s="215">
        <v>149.44</v>
      </c>
      <c r="N38" s="208">
        <v>2</v>
      </c>
      <c r="O38" s="208">
        <v>1.0369999999999999</v>
      </c>
      <c r="P38" s="208">
        <v>90.69</v>
      </c>
      <c r="Q38" s="208">
        <v>21.6</v>
      </c>
      <c r="R38" s="210">
        <v>1.002</v>
      </c>
      <c r="S38" s="210">
        <f t="shared" si="1"/>
        <v>0.14453961456102785</v>
      </c>
    </row>
    <row r="39" spans="1:19">
      <c r="A39" s="205" t="s">
        <v>90</v>
      </c>
      <c r="B39" s="206" t="s">
        <v>85</v>
      </c>
      <c r="C39" s="206" t="s">
        <v>24</v>
      </c>
      <c r="D39" s="207" t="s">
        <v>25</v>
      </c>
      <c r="E39" s="207">
        <v>63</v>
      </c>
      <c r="F39" s="207">
        <v>4.8819999999999997</v>
      </c>
      <c r="G39" s="207">
        <v>62.48</v>
      </c>
      <c r="H39" s="207">
        <v>856.41</v>
      </c>
      <c r="I39" s="215"/>
      <c r="J39" s="215"/>
      <c r="K39" s="215"/>
      <c r="L39" s="215"/>
      <c r="M39" s="215"/>
      <c r="N39" s="208">
        <v>66</v>
      </c>
      <c r="O39" s="208">
        <v>4.718</v>
      </c>
      <c r="P39" s="208">
        <v>63.11</v>
      </c>
      <c r="Q39" s="208">
        <v>904.69</v>
      </c>
      <c r="R39" s="210">
        <v>1.056</v>
      </c>
      <c r="S39" s="209"/>
    </row>
    <row r="40" spans="1:19">
      <c r="A40" s="205" t="s">
        <v>91</v>
      </c>
      <c r="B40" s="206">
        <v>8</v>
      </c>
      <c r="C40" s="206" t="s">
        <v>24</v>
      </c>
      <c r="D40" s="207" t="s">
        <v>25</v>
      </c>
      <c r="E40" s="207">
        <v>50</v>
      </c>
      <c r="F40" s="207">
        <v>4.9950000000000001</v>
      </c>
      <c r="G40" s="207">
        <v>91.29</v>
      </c>
      <c r="H40" s="207">
        <v>504.12</v>
      </c>
      <c r="I40" s="215" t="s">
        <v>25</v>
      </c>
      <c r="J40" s="215">
        <v>68</v>
      </c>
      <c r="K40" s="215">
        <v>4.9989999999999997</v>
      </c>
      <c r="L40" s="215">
        <v>62.52</v>
      </c>
      <c r="M40" s="215">
        <v>932.95</v>
      </c>
      <c r="N40" s="208">
        <v>58</v>
      </c>
      <c r="O40" s="208">
        <v>4.899</v>
      </c>
      <c r="P40" s="208">
        <v>93.03</v>
      </c>
      <c r="Q40" s="208">
        <v>575.97</v>
      </c>
      <c r="R40" s="210">
        <v>1.143</v>
      </c>
      <c r="S40" s="210">
        <f t="shared" si="1"/>
        <v>0.61736427461278742</v>
      </c>
    </row>
    <row r="41" spans="1:19">
      <c r="A41" s="205" t="s">
        <v>93</v>
      </c>
      <c r="B41" s="206">
        <v>1</v>
      </c>
      <c r="C41" s="206" t="s">
        <v>24</v>
      </c>
      <c r="D41" s="207" t="s">
        <v>25</v>
      </c>
      <c r="E41" s="207">
        <v>341</v>
      </c>
      <c r="F41" s="207">
        <v>4.992</v>
      </c>
      <c r="G41" s="207">
        <v>41.8</v>
      </c>
      <c r="H41" s="207">
        <v>7266.38</v>
      </c>
      <c r="I41" s="215" t="s">
        <v>25</v>
      </c>
      <c r="J41" s="215">
        <v>546</v>
      </c>
      <c r="K41" s="215">
        <v>4.9379999999999997</v>
      </c>
      <c r="L41" s="215">
        <v>72.599999999999994</v>
      </c>
      <c r="M41" s="215">
        <v>6233.22</v>
      </c>
      <c r="N41" s="208">
        <v>334</v>
      </c>
      <c r="O41" s="208">
        <v>4.9409999999999998</v>
      </c>
      <c r="P41" s="208">
        <v>41.26</v>
      </c>
      <c r="Q41" s="208">
        <v>7191.72</v>
      </c>
      <c r="R41" s="210">
        <v>0.99</v>
      </c>
      <c r="S41" s="210">
        <f t="shared" si="1"/>
        <v>1.1537728493459238</v>
      </c>
    </row>
    <row r="42" spans="1:19">
      <c r="A42" s="205" t="s">
        <v>94</v>
      </c>
      <c r="B42" s="206">
        <v>3</v>
      </c>
      <c r="C42" s="206" t="s">
        <v>24</v>
      </c>
      <c r="D42" s="207" t="s">
        <v>25</v>
      </c>
      <c r="E42" s="207">
        <v>90</v>
      </c>
      <c r="F42" s="207">
        <v>4.66</v>
      </c>
      <c r="G42" s="207">
        <v>99.4</v>
      </c>
      <c r="H42" s="207">
        <v>856.49</v>
      </c>
      <c r="I42" s="215" t="s">
        <v>25</v>
      </c>
      <c r="J42" s="215">
        <v>186</v>
      </c>
      <c r="K42" s="215">
        <v>4.93</v>
      </c>
      <c r="L42" s="215">
        <v>77.48</v>
      </c>
      <c r="M42" s="215">
        <v>2074.77</v>
      </c>
      <c r="N42" s="208">
        <v>90</v>
      </c>
      <c r="O42" s="208">
        <v>4.5309999999999997</v>
      </c>
      <c r="P42" s="208">
        <v>99.29</v>
      </c>
      <c r="Q42" s="208">
        <v>864.6</v>
      </c>
      <c r="R42" s="210">
        <v>1.0089999999999999</v>
      </c>
      <c r="S42" s="210">
        <f t="shared" si="1"/>
        <v>0.41672088954438324</v>
      </c>
    </row>
    <row r="43" spans="1:19">
      <c r="A43" s="205" t="s">
        <v>95</v>
      </c>
      <c r="B43" s="206">
        <v>32</v>
      </c>
      <c r="C43" s="206" t="s">
        <v>24</v>
      </c>
      <c r="D43" s="207" t="s">
        <v>43</v>
      </c>
      <c r="E43" s="207">
        <v>1</v>
      </c>
      <c r="F43" s="207">
        <v>1.5449999999999999</v>
      </c>
      <c r="G43" s="207">
        <v>138.53</v>
      </c>
      <c r="H43" s="207">
        <v>7.15</v>
      </c>
      <c r="I43" s="215" t="s">
        <v>44</v>
      </c>
      <c r="J43" s="215">
        <v>6</v>
      </c>
      <c r="K43" s="215">
        <v>4.8559999999999999</v>
      </c>
      <c r="L43" s="215">
        <v>66.569999999999993</v>
      </c>
      <c r="M43" s="215">
        <v>84.2</v>
      </c>
      <c r="N43" s="208">
        <v>1</v>
      </c>
      <c r="O43" s="208">
        <v>1.5229999999999999</v>
      </c>
      <c r="P43" s="208">
        <v>137.84</v>
      </c>
      <c r="Q43" s="208">
        <v>7.18</v>
      </c>
      <c r="R43" s="210">
        <v>1.004</v>
      </c>
      <c r="S43" s="210">
        <f t="shared" si="1"/>
        <v>8.5273159144893099E-2</v>
      </c>
    </row>
    <row r="44" spans="1:19">
      <c r="A44" s="205" t="s">
        <v>96</v>
      </c>
      <c r="B44" s="206">
        <v>14</v>
      </c>
      <c r="C44" s="206" t="s">
        <v>24</v>
      </c>
      <c r="D44" s="207" t="s">
        <v>43</v>
      </c>
      <c r="E44" s="207">
        <v>14</v>
      </c>
      <c r="F44" s="207">
        <v>4.1070000000000002</v>
      </c>
      <c r="G44" s="207">
        <v>98.97</v>
      </c>
      <c r="H44" s="207">
        <v>135.41</v>
      </c>
      <c r="I44" s="215" t="s">
        <v>25</v>
      </c>
      <c r="J44" s="215">
        <v>32</v>
      </c>
      <c r="K44" s="215">
        <v>4.915</v>
      </c>
      <c r="L44" s="215">
        <v>77.760000000000005</v>
      </c>
      <c r="M44" s="215">
        <v>371.6</v>
      </c>
      <c r="N44" s="208">
        <v>14</v>
      </c>
      <c r="O44" s="208">
        <v>3.9119999999999999</v>
      </c>
      <c r="P44" s="208">
        <v>99.01</v>
      </c>
      <c r="Q44" s="208">
        <v>135.68</v>
      </c>
      <c r="R44" s="210">
        <v>1.002</v>
      </c>
      <c r="S44" s="210">
        <f t="shared" si="1"/>
        <v>0.36512378902045212</v>
      </c>
    </row>
    <row r="45" spans="1:19">
      <c r="A45" s="205" t="s">
        <v>97</v>
      </c>
      <c r="B45" s="206">
        <v>7</v>
      </c>
      <c r="C45" s="206" t="s">
        <v>24</v>
      </c>
      <c r="D45" s="207" t="s">
        <v>25</v>
      </c>
      <c r="E45" s="207">
        <v>49</v>
      </c>
      <c r="F45" s="207">
        <v>4.7939999999999996</v>
      </c>
      <c r="G45" s="207">
        <v>85.94</v>
      </c>
      <c r="H45" s="207">
        <v>533.79999999999995</v>
      </c>
      <c r="I45" s="215" t="s">
        <v>25</v>
      </c>
      <c r="J45" s="215">
        <v>66</v>
      </c>
      <c r="K45" s="215">
        <v>4.9400000000000004</v>
      </c>
      <c r="L45" s="215">
        <v>58.03</v>
      </c>
      <c r="M45" s="215">
        <v>977.72</v>
      </c>
      <c r="N45" s="208">
        <v>54</v>
      </c>
      <c r="O45" s="208">
        <v>4.7649999999999997</v>
      </c>
      <c r="P45" s="208">
        <v>86.92</v>
      </c>
      <c r="Q45" s="208">
        <v>581.11</v>
      </c>
      <c r="R45" s="210">
        <v>1.089</v>
      </c>
      <c r="S45" s="210">
        <f t="shared" si="1"/>
        <v>0.59435216626437015</v>
      </c>
    </row>
    <row r="46" spans="1:19">
      <c r="A46" s="205" t="s">
        <v>98</v>
      </c>
      <c r="B46" s="206" t="s">
        <v>92</v>
      </c>
      <c r="C46" s="206" t="s">
        <v>24</v>
      </c>
      <c r="D46" s="207" t="s">
        <v>25</v>
      </c>
      <c r="E46" s="207">
        <v>572</v>
      </c>
      <c r="F46" s="207">
        <v>4.048</v>
      </c>
      <c r="G46" s="207">
        <v>96.06</v>
      </c>
      <c r="H46" s="207">
        <v>5676.37</v>
      </c>
      <c r="I46" s="215"/>
      <c r="J46" s="215"/>
      <c r="K46" s="215"/>
      <c r="L46" s="215"/>
      <c r="M46" s="215"/>
      <c r="N46" s="208">
        <v>365</v>
      </c>
      <c r="O46" s="208">
        <v>2.7519999999999998</v>
      </c>
      <c r="P46" s="208">
        <v>64.84</v>
      </c>
      <c r="Q46" s="208">
        <v>5346.7</v>
      </c>
      <c r="R46" s="210">
        <v>0.94199999999999995</v>
      </c>
      <c r="S46" s="209"/>
    </row>
    <row r="47" spans="1:19">
      <c r="A47" s="205" t="s">
        <v>99</v>
      </c>
      <c r="B47" s="206" t="s">
        <v>92</v>
      </c>
      <c r="C47" s="206" t="s">
        <v>24</v>
      </c>
      <c r="D47" s="207" t="s">
        <v>25</v>
      </c>
      <c r="E47" s="207">
        <v>304</v>
      </c>
      <c r="F47" s="207">
        <v>4.9710000000000001</v>
      </c>
      <c r="G47" s="207">
        <v>35.9</v>
      </c>
      <c r="H47" s="207">
        <v>7358.13</v>
      </c>
      <c r="I47" s="215"/>
      <c r="J47" s="215"/>
      <c r="K47" s="215"/>
      <c r="L47" s="215"/>
      <c r="M47" s="215"/>
      <c r="N47" s="208">
        <v>305</v>
      </c>
      <c r="O47" s="208">
        <v>4.9530000000000003</v>
      </c>
      <c r="P47" s="208">
        <v>35.700000000000003</v>
      </c>
      <c r="Q47" s="208">
        <v>7436.79</v>
      </c>
      <c r="R47" s="210">
        <v>1.0109999999999999</v>
      </c>
      <c r="S47" s="209"/>
    </row>
    <row r="48" spans="1:19">
      <c r="A48" s="205" t="s">
        <v>100</v>
      </c>
      <c r="B48" s="206" t="s">
        <v>92</v>
      </c>
      <c r="C48" s="206" t="s">
        <v>24</v>
      </c>
      <c r="D48" s="207" t="s">
        <v>25</v>
      </c>
      <c r="E48" s="207">
        <v>306</v>
      </c>
      <c r="F48" s="207">
        <v>4.9950000000000001</v>
      </c>
      <c r="G48" s="207">
        <v>37.5</v>
      </c>
      <c r="H48" s="207">
        <v>7163.06</v>
      </c>
      <c r="I48" s="215"/>
      <c r="J48" s="215"/>
      <c r="K48" s="215"/>
      <c r="L48" s="215"/>
      <c r="M48" s="215"/>
      <c r="N48" s="208">
        <v>308</v>
      </c>
      <c r="O48" s="208">
        <v>4.9829999999999997</v>
      </c>
      <c r="P48" s="208">
        <v>37.299999999999997</v>
      </c>
      <c r="Q48" s="208">
        <v>7213.04</v>
      </c>
      <c r="R48" s="210">
        <v>1.0069999999999999</v>
      </c>
      <c r="S48" s="209"/>
    </row>
    <row r="49" spans="18:19">
      <c r="R49">
        <f>GEOMEAN(R8:R33)</f>
        <v>1.0765306551410627</v>
      </c>
      <c r="S49">
        <f>GEOMEAN(S8:S33)</f>
        <v>0.94163574914994286</v>
      </c>
    </row>
    <row r="50" spans="18:19">
      <c r="R50">
        <f>GEOMEAN(R34:R39)</f>
        <v>0.99228898895132578</v>
      </c>
      <c r="S50">
        <f>GEOMEAN(S34:S39)</f>
        <v>0.50144225910561402</v>
      </c>
    </row>
    <row r="51" spans="18:19">
      <c r="R51">
        <f>GEOMEAN(R40:R48)</f>
        <v>1.0204259459287557</v>
      </c>
      <c r="S51">
        <f>GEOMEAN(S40:S48)</f>
        <v>0.42004959356316351</v>
      </c>
    </row>
  </sheetData>
  <mergeCells count="14">
    <mergeCell ref="A1:A4"/>
    <mergeCell ref="B1:B4"/>
    <mergeCell ref="C1:C4"/>
    <mergeCell ref="D1:D4"/>
    <mergeCell ref="E1:S1"/>
    <mergeCell ref="E2:S2"/>
    <mergeCell ref="E3:S3"/>
    <mergeCell ref="R6:S6"/>
    <mergeCell ref="A6:A7"/>
    <mergeCell ref="B6:B7"/>
    <mergeCell ref="C6:C7"/>
    <mergeCell ref="D6:H6"/>
    <mergeCell ref="I6:M6"/>
    <mergeCell ref="N6:Q6"/>
  </mergeCells>
  <conditionalFormatting sqref="R8:S48">
    <cfRule type="cellIs" dxfId="24" priority="1" operator="greaterThan">
      <formula>1</formula>
    </cfRule>
  </conditionalFormatting>
  <hyperlinks>
    <hyperlink ref="T21" r:id="rId1" xr:uid="{3E05702F-50FD-4D1C-913E-36F12AEFF0E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CF45-181D-4B50-9DD5-D5CDB4F01C4B}">
  <dimension ref="B5:R23"/>
  <sheetViews>
    <sheetView workbookViewId="0">
      <selection activeCell="L21" sqref="K21:L21"/>
    </sheetView>
  </sheetViews>
  <sheetFormatPr defaultRowHeight="15.95"/>
  <cols>
    <col min="2" max="2" width="108.75" customWidth="1"/>
  </cols>
  <sheetData>
    <row r="5" spans="2:18">
      <c r="B5" t="s">
        <v>347</v>
      </c>
      <c r="C5" t="s">
        <v>348</v>
      </c>
      <c r="D5" t="s">
        <v>349</v>
      </c>
      <c r="E5" t="s">
        <v>350</v>
      </c>
      <c r="F5" t="s">
        <v>351</v>
      </c>
      <c r="G5" t="s">
        <v>352</v>
      </c>
      <c r="H5" t="s">
        <v>353</v>
      </c>
      <c r="I5" t="s">
        <v>354</v>
      </c>
      <c r="J5" t="s">
        <v>355</v>
      </c>
      <c r="K5" t="s">
        <v>356</v>
      </c>
      <c r="L5" t="s">
        <v>357</v>
      </c>
      <c r="M5" t="s">
        <v>358</v>
      </c>
      <c r="N5" t="s">
        <v>359</v>
      </c>
      <c r="O5" t="s">
        <v>360</v>
      </c>
      <c r="P5" t="s">
        <v>361</v>
      </c>
      <c r="Q5" t="s">
        <v>362</v>
      </c>
      <c r="R5" t="b">
        <v>1</v>
      </c>
    </row>
    <row r="6" spans="2:18">
      <c r="B6" t="s">
        <v>163</v>
      </c>
      <c r="C6" t="s">
        <v>363</v>
      </c>
      <c r="D6" t="s">
        <v>364</v>
      </c>
      <c r="E6" t="s">
        <v>365</v>
      </c>
      <c r="F6">
        <v>6</v>
      </c>
      <c r="H6">
        <v>1</v>
      </c>
      <c r="I6" t="s">
        <v>366</v>
      </c>
      <c r="J6" t="s">
        <v>367</v>
      </c>
      <c r="K6">
        <v>1</v>
      </c>
      <c r="L6">
        <v>12.31</v>
      </c>
      <c r="M6">
        <v>0.01</v>
      </c>
      <c r="N6">
        <v>1634.53</v>
      </c>
      <c r="O6">
        <v>79.7</v>
      </c>
    </row>
    <row r="7" spans="2:18">
      <c r="B7" t="s">
        <v>163</v>
      </c>
      <c r="C7" t="s">
        <v>363</v>
      </c>
      <c r="D7" t="s">
        <v>364</v>
      </c>
      <c r="E7" t="s">
        <v>365</v>
      </c>
      <c r="F7">
        <v>6</v>
      </c>
      <c r="H7">
        <v>2</v>
      </c>
      <c r="I7" t="s">
        <v>366</v>
      </c>
      <c r="J7" t="s">
        <v>367</v>
      </c>
      <c r="K7">
        <v>2</v>
      </c>
      <c r="L7">
        <v>22.48</v>
      </c>
      <c r="M7">
        <v>0.02</v>
      </c>
      <c r="N7">
        <v>2429.4899999999998</v>
      </c>
      <c r="O7">
        <v>86.65</v>
      </c>
    </row>
    <row r="8" spans="2:18">
      <c r="B8" t="s">
        <v>163</v>
      </c>
      <c r="C8" t="s">
        <v>363</v>
      </c>
      <c r="D8" t="s">
        <v>364</v>
      </c>
      <c r="E8" t="s">
        <v>365</v>
      </c>
      <c r="F8">
        <v>6</v>
      </c>
      <c r="H8">
        <v>3</v>
      </c>
      <c r="I8" t="s">
        <v>366</v>
      </c>
      <c r="J8" t="s">
        <v>367</v>
      </c>
      <c r="K8">
        <v>3</v>
      </c>
      <c r="L8">
        <v>30.96</v>
      </c>
      <c r="M8">
        <v>0.03</v>
      </c>
      <c r="N8">
        <v>3626.48</v>
      </c>
      <c r="O8">
        <v>93.44</v>
      </c>
    </row>
    <row r="9" spans="2:18">
      <c r="B9" t="s">
        <v>163</v>
      </c>
      <c r="C9" t="s">
        <v>363</v>
      </c>
      <c r="D9" t="s">
        <v>364</v>
      </c>
      <c r="E9" t="s">
        <v>365</v>
      </c>
      <c r="F9">
        <v>6</v>
      </c>
      <c r="H9">
        <v>4</v>
      </c>
      <c r="I9" t="s">
        <v>366</v>
      </c>
      <c r="J9" t="s">
        <v>367</v>
      </c>
      <c r="K9">
        <v>4</v>
      </c>
      <c r="L9">
        <v>38.729999999999997</v>
      </c>
      <c r="M9">
        <v>0.04</v>
      </c>
      <c r="N9">
        <v>4792.1099999999997</v>
      </c>
      <c r="O9">
        <v>98.68</v>
      </c>
    </row>
    <row r="10" spans="2:18">
      <c r="B10" t="s">
        <v>163</v>
      </c>
      <c r="C10" t="s">
        <v>363</v>
      </c>
      <c r="D10" t="s">
        <v>364</v>
      </c>
      <c r="E10" t="s">
        <v>365</v>
      </c>
      <c r="F10">
        <v>6</v>
      </c>
      <c r="H10">
        <v>5</v>
      </c>
      <c r="I10" t="s">
        <v>366</v>
      </c>
      <c r="J10" t="s">
        <v>367</v>
      </c>
      <c r="K10">
        <v>5</v>
      </c>
      <c r="L10">
        <v>40.700000000000003</v>
      </c>
      <c r="M10">
        <v>0.04</v>
      </c>
      <c r="N10">
        <v>6071.01</v>
      </c>
      <c r="O10">
        <v>117.02</v>
      </c>
    </row>
    <row r="11" spans="2:18">
      <c r="B11" t="s">
        <v>368</v>
      </c>
      <c r="C11" t="s">
        <v>369</v>
      </c>
      <c r="D11" t="s">
        <v>370</v>
      </c>
      <c r="E11">
        <v>38.729999999999997</v>
      </c>
      <c r="F11" t="s">
        <v>371</v>
      </c>
      <c r="G11" t="s">
        <v>372</v>
      </c>
    </row>
    <row r="12" spans="2:18">
      <c r="B12" t="s">
        <v>165</v>
      </c>
      <c r="C12" t="s">
        <v>363</v>
      </c>
      <c r="D12" t="s">
        <v>364</v>
      </c>
      <c r="E12" t="s">
        <v>365</v>
      </c>
      <c r="F12">
        <v>6</v>
      </c>
      <c r="H12">
        <v>1</v>
      </c>
      <c r="I12" t="s">
        <v>366</v>
      </c>
      <c r="J12" t="s">
        <v>367</v>
      </c>
      <c r="K12">
        <v>1</v>
      </c>
      <c r="L12">
        <v>13.4</v>
      </c>
      <c r="M12">
        <v>0.01</v>
      </c>
      <c r="N12">
        <v>0</v>
      </c>
      <c r="O12">
        <v>0</v>
      </c>
    </row>
    <row r="13" spans="2:18">
      <c r="B13" t="s">
        <v>165</v>
      </c>
      <c r="C13" t="s">
        <v>363</v>
      </c>
      <c r="D13" t="s">
        <v>364</v>
      </c>
      <c r="E13" t="s">
        <v>365</v>
      </c>
      <c r="F13">
        <v>6</v>
      </c>
      <c r="H13">
        <v>2</v>
      </c>
      <c r="I13" t="s">
        <v>366</v>
      </c>
      <c r="J13" t="s">
        <v>367</v>
      </c>
      <c r="K13">
        <v>2</v>
      </c>
      <c r="L13">
        <v>17.989999999999998</v>
      </c>
      <c r="M13">
        <v>0.02</v>
      </c>
      <c r="N13">
        <v>2004</v>
      </c>
      <c r="O13">
        <v>107.44</v>
      </c>
    </row>
    <row r="14" spans="2:18">
      <c r="B14" t="s">
        <v>373</v>
      </c>
      <c r="C14" t="s">
        <v>369</v>
      </c>
      <c r="D14" t="s">
        <v>370</v>
      </c>
      <c r="E14">
        <v>13.4</v>
      </c>
      <c r="F14" t="s">
        <v>374</v>
      </c>
      <c r="G14" t="s">
        <v>375</v>
      </c>
    </row>
    <row r="15" spans="2:18">
      <c r="B15" t="s">
        <v>167</v>
      </c>
      <c r="C15" t="s">
        <v>363</v>
      </c>
      <c r="D15" t="s">
        <v>364</v>
      </c>
      <c r="E15" t="s">
        <v>365</v>
      </c>
      <c r="F15">
        <v>6</v>
      </c>
      <c r="H15">
        <v>1</v>
      </c>
      <c r="I15" t="s">
        <v>366</v>
      </c>
      <c r="J15" t="s">
        <v>367</v>
      </c>
      <c r="K15">
        <v>1</v>
      </c>
      <c r="L15">
        <v>13.41</v>
      </c>
      <c r="M15">
        <v>0.01</v>
      </c>
      <c r="N15">
        <v>1994.99</v>
      </c>
      <c r="O15">
        <v>72.75</v>
      </c>
    </row>
    <row r="16" spans="2:18">
      <c r="B16" t="s">
        <v>167</v>
      </c>
      <c r="C16" t="s">
        <v>363</v>
      </c>
      <c r="D16" t="s">
        <v>364</v>
      </c>
      <c r="E16" t="s">
        <v>365</v>
      </c>
      <c r="F16">
        <v>6</v>
      </c>
      <c r="H16">
        <v>2</v>
      </c>
      <c r="I16" t="s">
        <v>366</v>
      </c>
      <c r="J16" t="s">
        <v>367</v>
      </c>
      <c r="K16">
        <v>2</v>
      </c>
      <c r="L16">
        <v>17.96</v>
      </c>
      <c r="M16">
        <v>0.02</v>
      </c>
      <c r="N16">
        <v>3985.01</v>
      </c>
      <c r="O16">
        <v>107.67</v>
      </c>
    </row>
    <row r="17" spans="2:15">
      <c r="B17" t="s">
        <v>376</v>
      </c>
      <c r="C17" t="s">
        <v>369</v>
      </c>
      <c r="D17" t="s">
        <v>370</v>
      </c>
      <c r="E17">
        <v>13.41</v>
      </c>
      <c r="F17" t="s">
        <v>377</v>
      </c>
      <c r="G17" t="s">
        <v>378</v>
      </c>
    </row>
    <row r="18" spans="2:15">
      <c r="B18" t="s">
        <v>169</v>
      </c>
      <c r="C18" t="s">
        <v>363</v>
      </c>
      <c r="D18" t="s">
        <v>364</v>
      </c>
      <c r="E18" t="s">
        <v>365</v>
      </c>
      <c r="F18">
        <v>6</v>
      </c>
      <c r="H18">
        <v>1</v>
      </c>
      <c r="I18" t="s">
        <v>366</v>
      </c>
      <c r="J18" t="s">
        <v>367</v>
      </c>
      <c r="K18">
        <v>1</v>
      </c>
      <c r="L18">
        <v>16.86</v>
      </c>
      <c r="M18">
        <v>0.02</v>
      </c>
      <c r="N18">
        <v>1193.6300000000001</v>
      </c>
      <c r="O18">
        <v>58.18</v>
      </c>
    </row>
    <row r="19" spans="2:15">
      <c r="B19" t="s">
        <v>169</v>
      </c>
      <c r="C19" t="s">
        <v>363</v>
      </c>
      <c r="D19" t="s">
        <v>364</v>
      </c>
      <c r="E19" t="s">
        <v>365</v>
      </c>
      <c r="F19">
        <v>6</v>
      </c>
      <c r="H19">
        <v>2</v>
      </c>
      <c r="I19" t="s">
        <v>366</v>
      </c>
      <c r="J19" t="s">
        <v>367</v>
      </c>
      <c r="K19">
        <v>2</v>
      </c>
      <c r="L19">
        <v>27.74</v>
      </c>
      <c r="M19">
        <v>0.03</v>
      </c>
      <c r="N19">
        <v>1792.89</v>
      </c>
      <c r="O19">
        <v>70.41</v>
      </c>
    </row>
    <row r="20" spans="2:15">
      <c r="B20" t="s">
        <v>169</v>
      </c>
      <c r="C20" t="s">
        <v>363</v>
      </c>
      <c r="D20" t="s">
        <v>364</v>
      </c>
      <c r="E20" t="s">
        <v>365</v>
      </c>
      <c r="F20">
        <v>6</v>
      </c>
      <c r="H20">
        <v>3</v>
      </c>
      <c r="I20" t="s">
        <v>366</v>
      </c>
      <c r="J20" t="s">
        <v>367</v>
      </c>
      <c r="K20">
        <v>3</v>
      </c>
      <c r="L20">
        <v>33.58</v>
      </c>
      <c r="M20">
        <v>0.03</v>
      </c>
      <c r="N20">
        <v>2592.35</v>
      </c>
      <c r="O20">
        <v>86.89</v>
      </c>
    </row>
    <row r="21" spans="2:15">
      <c r="B21" t="s">
        <v>169</v>
      </c>
      <c r="C21" t="s">
        <v>363</v>
      </c>
      <c r="D21" t="s">
        <v>364</v>
      </c>
      <c r="E21" t="s">
        <v>365</v>
      </c>
      <c r="F21">
        <v>6</v>
      </c>
      <c r="H21">
        <v>4</v>
      </c>
      <c r="I21" t="s">
        <v>366</v>
      </c>
      <c r="J21" t="s">
        <v>367</v>
      </c>
      <c r="K21">
        <v>4</v>
      </c>
      <c r="L21">
        <v>39.869999999999997</v>
      </c>
      <c r="M21">
        <v>0.04</v>
      </c>
      <c r="N21">
        <v>3461</v>
      </c>
      <c r="O21">
        <v>97.01</v>
      </c>
    </row>
    <row r="22" spans="2:15">
      <c r="B22" t="s">
        <v>169</v>
      </c>
      <c r="C22" t="s">
        <v>363</v>
      </c>
      <c r="D22" t="s">
        <v>364</v>
      </c>
      <c r="E22" t="s">
        <v>365</v>
      </c>
      <c r="F22">
        <v>6</v>
      </c>
      <c r="H22">
        <v>5</v>
      </c>
      <c r="I22" t="s">
        <v>366</v>
      </c>
      <c r="J22" t="s">
        <v>367</v>
      </c>
      <c r="K22">
        <v>5</v>
      </c>
      <c r="L22">
        <v>43.01</v>
      </c>
      <c r="M22">
        <v>0.04</v>
      </c>
      <c r="N22">
        <v>4328.68</v>
      </c>
      <c r="O22">
        <v>112.12</v>
      </c>
    </row>
    <row r="23" spans="2:15">
      <c r="B23" t="s">
        <v>379</v>
      </c>
      <c r="C23" t="s">
        <v>369</v>
      </c>
      <c r="D23" t="s">
        <v>370</v>
      </c>
      <c r="E23">
        <v>39.869999999999997</v>
      </c>
      <c r="F23" t="s">
        <v>380</v>
      </c>
      <c r="G23" t="s">
        <v>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25AE-2C95-4B5F-8009-00093F74559D}">
  <dimension ref="A1:X67"/>
  <sheetViews>
    <sheetView topLeftCell="B1" workbookViewId="0">
      <selection activeCell="B29" sqref="B29:B43"/>
    </sheetView>
  </sheetViews>
  <sheetFormatPr defaultColWidth="9" defaultRowHeight="15.75" customHeight="1"/>
  <cols>
    <col min="1" max="1" width="8.875" hidden="1" customWidth="1"/>
    <col min="2" max="2" width="41.875" customWidth="1"/>
    <col min="3" max="3" width="16.25" hidden="1" customWidth="1"/>
    <col min="4" max="4" width="7.875" hidden="1" customWidth="1"/>
    <col min="5" max="5" width="9.25" hidden="1" customWidth="1"/>
    <col min="6" max="6" width="7.25" customWidth="1"/>
    <col min="7" max="7" width="14.625" hidden="1" customWidth="1"/>
    <col min="8" max="8" width="14" hidden="1" customWidth="1"/>
    <col min="9" max="9" width="13.5" hidden="1" customWidth="1"/>
    <col min="10" max="10" width="11.125" hidden="1" customWidth="1"/>
    <col min="11" max="11" width="32.875" hidden="1" customWidth="1"/>
    <col min="12" max="12" width="10.25" hidden="1" customWidth="1"/>
    <col min="13" max="13" width="11" hidden="1" customWidth="1"/>
    <col min="14" max="14" width="14.625" hidden="1" customWidth="1"/>
    <col min="15" max="15" width="10.75" hidden="1" customWidth="1"/>
    <col min="16" max="16" width="11.75" hidden="1" customWidth="1"/>
    <col min="17" max="17" width="23.375" customWidth="1"/>
    <col min="18" max="18" width="20.375" bestFit="1" customWidth="1"/>
    <col min="19" max="19" width="11.125" bestFit="1" customWidth="1"/>
    <col min="20" max="20" width="0" hidden="1" customWidth="1"/>
    <col min="23" max="23" width="13.5" customWidth="1"/>
  </cols>
  <sheetData>
    <row r="1" spans="1:24" ht="15.95">
      <c r="A1" s="163" t="s">
        <v>111</v>
      </c>
      <c r="B1" s="163" t="s">
        <v>382</v>
      </c>
      <c r="C1" s="163" t="s">
        <v>112</v>
      </c>
      <c r="D1" s="163" t="s">
        <v>349</v>
      </c>
      <c r="E1" s="163" t="s">
        <v>383</v>
      </c>
      <c r="F1" s="163" t="s">
        <v>384</v>
      </c>
      <c r="G1" s="163" t="s">
        <v>385</v>
      </c>
      <c r="H1" s="163" t="s">
        <v>386</v>
      </c>
      <c r="I1" s="163" t="s">
        <v>354</v>
      </c>
      <c r="J1" s="163" t="s">
        <v>387</v>
      </c>
      <c r="K1" s="163" t="s">
        <v>388</v>
      </c>
      <c r="L1" s="163" t="s">
        <v>389</v>
      </c>
      <c r="M1" s="163" t="s">
        <v>390</v>
      </c>
      <c r="N1" s="163" t="s">
        <v>391</v>
      </c>
      <c r="O1" s="163" t="s">
        <v>392</v>
      </c>
      <c r="P1" s="163" t="s">
        <v>393</v>
      </c>
      <c r="Q1" s="164" t="s">
        <v>394</v>
      </c>
      <c r="R1" s="164" t="s">
        <v>395</v>
      </c>
      <c r="S1" s="164" t="s">
        <v>396</v>
      </c>
      <c r="T1" s="164" t="s">
        <v>397</v>
      </c>
      <c r="U1" s="204" t="s">
        <v>398</v>
      </c>
      <c r="V1" s="204" t="s">
        <v>399</v>
      </c>
    </row>
    <row r="2" spans="1:24" ht="15.95">
      <c r="A2" s="140">
        <v>185</v>
      </c>
      <c r="B2" s="141" t="s">
        <v>22</v>
      </c>
      <c r="C2" s="141" t="s">
        <v>118</v>
      </c>
      <c r="D2" s="141" t="s">
        <v>24</v>
      </c>
      <c r="E2" s="147" t="s">
        <v>400</v>
      </c>
      <c r="F2" s="152" t="s">
        <v>25</v>
      </c>
      <c r="G2" s="147" t="s">
        <v>401</v>
      </c>
      <c r="H2" s="147">
        <v>16</v>
      </c>
      <c r="I2" s="147" t="s">
        <v>366</v>
      </c>
      <c r="J2" s="147"/>
      <c r="K2" s="156" t="s">
        <v>402</v>
      </c>
      <c r="L2" s="147" t="s">
        <v>403</v>
      </c>
      <c r="M2" s="147" t="s">
        <v>404</v>
      </c>
      <c r="N2" s="147" t="s">
        <v>405</v>
      </c>
      <c r="O2" s="147" t="s">
        <v>406</v>
      </c>
      <c r="P2" s="147" t="s">
        <v>407</v>
      </c>
      <c r="Q2" s="143">
        <v>0.8196</v>
      </c>
      <c r="R2" s="143">
        <v>0.84309999999999996</v>
      </c>
      <c r="S2" s="143">
        <v>1763.59</v>
      </c>
      <c r="T2" s="190" t="s">
        <v>408</v>
      </c>
      <c r="U2" s="202"/>
      <c r="V2" s="202"/>
    </row>
    <row r="3" spans="1:24" ht="15.95">
      <c r="A3" s="142" t="s">
        <v>125</v>
      </c>
      <c r="B3" s="142" t="s">
        <v>409</v>
      </c>
      <c r="C3" s="143" t="s">
        <v>119</v>
      </c>
      <c r="D3" s="143" t="s">
        <v>24</v>
      </c>
      <c r="E3" s="144" t="s">
        <v>400</v>
      </c>
      <c r="F3" s="152" t="s">
        <v>25</v>
      </c>
      <c r="G3" s="144" t="s">
        <v>401</v>
      </c>
      <c r="H3" s="144">
        <v>16</v>
      </c>
      <c r="I3" s="144" t="s">
        <v>366</v>
      </c>
      <c r="J3" s="144"/>
      <c r="K3" s="157" t="s">
        <v>402</v>
      </c>
      <c r="L3" s="144" t="s">
        <v>403</v>
      </c>
      <c r="M3" s="144" t="s">
        <v>404</v>
      </c>
      <c r="N3" s="144" t="s">
        <v>405</v>
      </c>
      <c r="O3" s="144" t="s">
        <v>406</v>
      </c>
      <c r="P3" s="144" t="s">
        <v>407</v>
      </c>
      <c r="Q3" s="145">
        <v>0.43369999999999997</v>
      </c>
      <c r="R3" s="145">
        <v>0.39269999999999999</v>
      </c>
      <c r="S3" s="145">
        <v>524.23</v>
      </c>
      <c r="T3" s="145" t="s">
        <v>410</v>
      </c>
      <c r="U3" s="145">
        <v>0.40560000000000002</v>
      </c>
      <c r="V3" s="145">
        <v>0.44280000000000003</v>
      </c>
    </row>
    <row r="4" spans="1:24" ht="15.95">
      <c r="A4" s="140">
        <v>185</v>
      </c>
      <c r="B4" s="141" t="s">
        <v>30</v>
      </c>
      <c r="C4" s="141" t="s">
        <v>120</v>
      </c>
      <c r="D4" s="141" t="s">
        <v>24</v>
      </c>
      <c r="E4" s="147" t="s">
        <v>400</v>
      </c>
      <c r="F4" s="152" t="s">
        <v>25</v>
      </c>
      <c r="G4" s="147" t="s">
        <v>401</v>
      </c>
      <c r="H4" s="147">
        <v>16</v>
      </c>
      <c r="I4" s="147" t="s">
        <v>366</v>
      </c>
      <c r="J4" s="147"/>
      <c r="K4" s="156" t="s">
        <v>402</v>
      </c>
      <c r="L4" s="147" t="s">
        <v>403</v>
      </c>
      <c r="M4" s="147" t="s">
        <v>404</v>
      </c>
      <c r="N4" s="147" t="s">
        <v>405</v>
      </c>
      <c r="O4" s="147" t="s">
        <v>406</v>
      </c>
      <c r="P4" s="147" t="s">
        <v>407</v>
      </c>
      <c r="Q4" s="143">
        <v>0.73089999999999999</v>
      </c>
      <c r="R4" s="143">
        <v>0.77480000000000004</v>
      </c>
      <c r="S4" s="143">
        <v>1074.32</v>
      </c>
      <c r="T4" s="192" t="s">
        <v>408</v>
      </c>
      <c r="U4" s="144"/>
      <c r="V4" s="144"/>
    </row>
    <row r="5" spans="1:24" ht="15.95">
      <c r="A5" s="142" t="s">
        <v>125</v>
      </c>
      <c r="B5" s="143" t="s">
        <v>31</v>
      </c>
      <c r="C5" s="143" t="s">
        <v>243</v>
      </c>
      <c r="D5" s="143" t="s">
        <v>24</v>
      </c>
      <c r="E5" s="144" t="s">
        <v>400</v>
      </c>
      <c r="F5" s="152" t="s">
        <v>32</v>
      </c>
      <c r="G5" s="144" t="s">
        <v>401</v>
      </c>
      <c r="H5" s="144">
        <v>16</v>
      </c>
      <c r="I5" s="144" t="s">
        <v>366</v>
      </c>
      <c r="J5" s="144"/>
      <c r="K5" s="157" t="s">
        <v>402</v>
      </c>
      <c r="L5" s="144" t="s">
        <v>403</v>
      </c>
      <c r="M5" s="144" t="s">
        <v>404</v>
      </c>
      <c r="N5" s="144" t="s">
        <v>405</v>
      </c>
      <c r="O5" s="144" t="s">
        <v>406</v>
      </c>
      <c r="P5" s="144" t="s">
        <v>407</v>
      </c>
      <c r="Q5" s="145">
        <v>1.3599999999999999E-2</v>
      </c>
      <c r="R5" s="145">
        <v>0.94389999999999996</v>
      </c>
      <c r="S5" s="145">
        <v>5900.35</v>
      </c>
      <c r="T5" s="82" t="s">
        <v>411</v>
      </c>
      <c r="U5" s="144" t="s">
        <v>412</v>
      </c>
      <c r="V5" s="144"/>
    </row>
    <row r="6" spans="1:24" ht="15.95" hidden="1">
      <c r="A6" s="140">
        <v>185</v>
      </c>
      <c r="B6" s="146" t="s">
        <v>36</v>
      </c>
      <c r="C6" s="141" t="s">
        <v>243</v>
      </c>
      <c r="D6" s="141" t="s">
        <v>24</v>
      </c>
      <c r="E6" s="147" t="s">
        <v>400</v>
      </c>
      <c r="F6" s="153" t="s">
        <v>43</v>
      </c>
      <c r="G6" s="147" t="s">
        <v>401</v>
      </c>
      <c r="H6" s="147">
        <v>16</v>
      </c>
      <c r="I6" s="147" t="s">
        <v>366</v>
      </c>
      <c r="J6" s="147"/>
      <c r="K6" s="156" t="s">
        <v>402</v>
      </c>
      <c r="L6" s="147" t="s">
        <v>403</v>
      </c>
      <c r="M6" s="147" t="s">
        <v>404</v>
      </c>
      <c r="N6" s="147" t="s">
        <v>405</v>
      </c>
      <c r="O6" s="147" t="s">
        <v>406</v>
      </c>
      <c r="P6" s="147" t="s">
        <v>407</v>
      </c>
      <c r="Q6" s="149" t="s">
        <v>413</v>
      </c>
      <c r="R6" s="149" t="s">
        <v>413</v>
      </c>
      <c r="S6" s="187"/>
      <c r="T6" s="82" t="s">
        <v>414</v>
      </c>
      <c r="U6" s="144"/>
      <c r="V6" s="144"/>
      <c r="W6" s="143" t="s">
        <v>415</v>
      </c>
      <c r="X6" s="82" t="s">
        <v>416</v>
      </c>
    </row>
    <row r="7" spans="1:24" ht="15.95" hidden="1">
      <c r="A7" s="142" t="s">
        <v>125</v>
      </c>
      <c r="B7" s="146" t="s">
        <v>40</v>
      </c>
      <c r="C7" s="143" t="s">
        <v>246</v>
      </c>
      <c r="D7" s="143" t="s">
        <v>24</v>
      </c>
      <c r="E7" s="144" t="s">
        <v>400</v>
      </c>
      <c r="F7" s="152" t="s">
        <v>43</v>
      </c>
      <c r="G7" s="144" t="s">
        <v>401</v>
      </c>
      <c r="H7" s="144">
        <v>16</v>
      </c>
      <c r="I7" s="144" t="s">
        <v>366</v>
      </c>
      <c r="J7" s="144"/>
      <c r="K7" s="157" t="s">
        <v>402</v>
      </c>
      <c r="L7" s="144" t="s">
        <v>403</v>
      </c>
      <c r="M7" s="144" t="s">
        <v>404</v>
      </c>
      <c r="N7" s="144" t="s">
        <v>405</v>
      </c>
      <c r="O7" s="144" t="s">
        <v>406</v>
      </c>
      <c r="P7" s="144" t="s">
        <v>407</v>
      </c>
      <c r="Q7" s="149" t="s">
        <v>413</v>
      </c>
      <c r="R7" s="148" t="s">
        <v>417</v>
      </c>
      <c r="S7" s="148" t="s">
        <v>417</v>
      </c>
      <c r="T7" s="144"/>
      <c r="U7" s="144"/>
      <c r="V7" s="144"/>
    </row>
    <row r="8" spans="1:24" ht="15.95">
      <c r="A8" s="140" t="s">
        <v>125</v>
      </c>
      <c r="B8" s="141" t="s">
        <v>42</v>
      </c>
      <c r="C8" s="141" t="s">
        <v>246</v>
      </c>
      <c r="D8" s="141" t="s">
        <v>24</v>
      </c>
      <c r="E8" s="147" t="s">
        <v>400</v>
      </c>
      <c r="F8" s="154" t="s">
        <v>32</v>
      </c>
      <c r="G8" s="147" t="s">
        <v>401</v>
      </c>
      <c r="H8" s="147">
        <v>16</v>
      </c>
      <c r="I8" s="147" t="s">
        <v>366</v>
      </c>
      <c r="J8" s="147"/>
      <c r="K8" s="156" t="s">
        <v>402</v>
      </c>
      <c r="L8" s="147" t="s">
        <v>403</v>
      </c>
      <c r="M8" s="147" t="s">
        <v>404</v>
      </c>
      <c r="N8" s="147" t="s">
        <v>405</v>
      </c>
      <c r="O8" s="147" t="s">
        <v>406</v>
      </c>
      <c r="P8" s="147" t="s">
        <v>407</v>
      </c>
      <c r="Q8" s="145">
        <v>0.21229999999999999</v>
      </c>
      <c r="R8" s="145">
        <v>0.69979999999999998</v>
      </c>
      <c r="S8" s="145">
        <v>20073.099999999999</v>
      </c>
      <c r="T8" s="82" t="s">
        <v>418</v>
      </c>
      <c r="U8" s="144">
        <v>0.2077</v>
      </c>
      <c r="V8" s="144">
        <v>0.69069999999999998</v>
      </c>
    </row>
    <row r="9" spans="1:24" ht="15.95">
      <c r="A9" s="142" t="s">
        <v>125</v>
      </c>
      <c r="B9" s="143" t="s">
        <v>46</v>
      </c>
      <c r="C9" s="143" t="s">
        <v>246</v>
      </c>
      <c r="D9" s="143" t="s">
        <v>24</v>
      </c>
      <c r="E9" s="144" t="s">
        <v>400</v>
      </c>
      <c r="F9" s="153" t="s">
        <v>32</v>
      </c>
      <c r="G9" s="144" t="s">
        <v>401</v>
      </c>
      <c r="H9" s="144">
        <v>16</v>
      </c>
      <c r="I9" s="144" t="s">
        <v>366</v>
      </c>
      <c r="J9" s="144"/>
      <c r="K9" s="157" t="s">
        <v>402</v>
      </c>
      <c r="L9" s="144" t="s">
        <v>403</v>
      </c>
      <c r="M9" s="144" t="s">
        <v>404</v>
      </c>
      <c r="N9" s="144" t="s">
        <v>405</v>
      </c>
      <c r="O9" s="144" t="s">
        <v>406</v>
      </c>
      <c r="P9" s="144" t="s">
        <v>407</v>
      </c>
      <c r="Q9" s="145">
        <v>0.63</v>
      </c>
      <c r="R9" s="145">
        <v>0.77559999999999996</v>
      </c>
      <c r="S9" s="145">
        <v>26870.13</v>
      </c>
      <c r="T9" s="82" t="s">
        <v>419</v>
      </c>
      <c r="U9" s="144" t="s">
        <v>420</v>
      </c>
      <c r="V9" s="144"/>
    </row>
    <row r="10" spans="1:24" ht="15.95" hidden="1">
      <c r="A10" s="150">
        <v>185</v>
      </c>
      <c r="B10" s="151" t="s">
        <v>47</v>
      </c>
      <c r="C10" s="151" t="s">
        <v>243</v>
      </c>
      <c r="D10" s="141" t="s">
        <v>24</v>
      </c>
      <c r="E10" s="147" t="s">
        <v>400</v>
      </c>
      <c r="F10" s="152" t="s">
        <v>43</v>
      </c>
      <c r="G10" s="147" t="s">
        <v>401</v>
      </c>
      <c r="H10" s="147">
        <v>16</v>
      </c>
      <c r="I10" s="147" t="s">
        <v>366</v>
      </c>
      <c r="J10" s="147"/>
      <c r="K10" s="156" t="s">
        <v>402</v>
      </c>
      <c r="L10" s="147" t="s">
        <v>403</v>
      </c>
      <c r="M10" s="147" t="s">
        <v>404</v>
      </c>
      <c r="N10" s="147" t="s">
        <v>405</v>
      </c>
      <c r="O10" s="147" t="s">
        <v>406</v>
      </c>
      <c r="P10" s="147" t="s">
        <v>407</v>
      </c>
      <c r="Q10" s="141"/>
      <c r="R10" s="141"/>
      <c r="S10" s="141"/>
      <c r="T10" s="141"/>
      <c r="U10" s="144"/>
      <c r="V10" s="144"/>
    </row>
    <row r="11" spans="1:24" ht="15.95" hidden="1">
      <c r="A11" s="142">
        <v>185</v>
      </c>
      <c r="B11" s="146" t="s">
        <v>51</v>
      </c>
      <c r="C11" s="143" t="s">
        <v>133</v>
      </c>
      <c r="D11" s="143" t="s">
        <v>24</v>
      </c>
      <c r="E11" s="144" t="s">
        <v>400</v>
      </c>
      <c r="F11" s="154" t="s">
        <v>25</v>
      </c>
      <c r="G11" s="144" t="s">
        <v>401</v>
      </c>
      <c r="H11" s="144">
        <v>16</v>
      </c>
      <c r="I11" s="144" t="s">
        <v>366</v>
      </c>
      <c r="J11" s="144"/>
      <c r="K11" s="157" t="s">
        <v>402</v>
      </c>
      <c r="L11" s="144" t="s">
        <v>403</v>
      </c>
      <c r="M11" s="144" t="s">
        <v>404</v>
      </c>
      <c r="N11" s="144" t="s">
        <v>405</v>
      </c>
      <c r="O11" s="144" t="s">
        <v>406</v>
      </c>
      <c r="P11" s="144" t="s">
        <v>407</v>
      </c>
      <c r="Q11" s="149" t="s">
        <v>413</v>
      </c>
      <c r="R11" s="149"/>
      <c r="S11" s="149"/>
      <c r="T11" s="82" t="s">
        <v>421</v>
      </c>
      <c r="U11" s="144"/>
      <c r="V11" s="144"/>
      <c r="W11" t="s">
        <v>415</v>
      </c>
      <c r="X11" s="82" t="s">
        <v>422</v>
      </c>
    </row>
    <row r="12" spans="1:24" ht="15.95">
      <c r="A12" s="143" t="s">
        <v>125</v>
      </c>
      <c r="B12" s="143" t="s">
        <v>52</v>
      </c>
      <c r="C12" s="141" t="s">
        <v>134</v>
      </c>
      <c r="D12" s="141" t="s">
        <v>24</v>
      </c>
      <c r="E12" s="147" t="s">
        <v>400</v>
      </c>
      <c r="F12" s="153" t="s">
        <v>25</v>
      </c>
      <c r="G12" s="147" t="s">
        <v>401</v>
      </c>
      <c r="H12" s="147">
        <v>16</v>
      </c>
      <c r="I12" s="147" t="s">
        <v>366</v>
      </c>
      <c r="J12" s="147"/>
      <c r="K12" s="156" t="s">
        <v>402</v>
      </c>
      <c r="L12" s="147" t="s">
        <v>403</v>
      </c>
      <c r="M12" s="147" t="s">
        <v>404</v>
      </c>
      <c r="N12" s="147" t="s">
        <v>405</v>
      </c>
      <c r="O12" s="147" t="s">
        <v>406</v>
      </c>
      <c r="P12" s="147" t="s">
        <v>407</v>
      </c>
      <c r="Q12" s="143">
        <v>0.8044</v>
      </c>
      <c r="R12" s="143">
        <v>0.82410000000000005</v>
      </c>
      <c r="S12" s="143">
        <v>11852.82</v>
      </c>
      <c r="T12" s="82" t="s">
        <v>423</v>
      </c>
      <c r="U12" s="143">
        <v>0.80210000000000004</v>
      </c>
      <c r="V12" s="143">
        <v>0.82179999999999997</v>
      </c>
    </row>
    <row r="13" spans="1:24" ht="15.95">
      <c r="A13" s="143">
        <v>185</v>
      </c>
      <c r="B13" s="143" t="s">
        <v>54</v>
      </c>
      <c r="C13" s="143" t="s">
        <v>243</v>
      </c>
      <c r="D13" s="143" t="s">
        <v>24</v>
      </c>
      <c r="E13" s="144" t="s">
        <v>400</v>
      </c>
      <c r="F13" s="152" t="s">
        <v>43</v>
      </c>
      <c r="G13" s="144" t="s">
        <v>401</v>
      </c>
      <c r="H13" s="144">
        <v>16</v>
      </c>
      <c r="I13" s="144" t="s">
        <v>366</v>
      </c>
      <c r="J13" s="144"/>
      <c r="K13" s="157" t="s">
        <v>402</v>
      </c>
      <c r="L13" s="144" t="s">
        <v>403</v>
      </c>
      <c r="M13" s="144" t="s">
        <v>404</v>
      </c>
      <c r="N13" s="144" t="s">
        <v>405</v>
      </c>
      <c r="O13" s="144" t="s">
        <v>406</v>
      </c>
      <c r="P13" s="144" t="s">
        <v>407</v>
      </c>
      <c r="Q13" s="143">
        <v>0.90069999999999995</v>
      </c>
      <c r="R13" s="143">
        <v>0.91959999999999997</v>
      </c>
      <c r="S13" s="143">
        <v>5054.3100000000004</v>
      </c>
      <c r="T13" s="186" t="s">
        <v>410</v>
      </c>
      <c r="U13" s="143">
        <v>0.9022</v>
      </c>
      <c r="V13" s="143">
        <v>0.91959999999999997</v>
      </c>
    </row>
    <row r="14" spans="1:24" ht="15.95">
      <c r="A14" s="143" t="s">
        <v>125</v>
      </c>
      <c r="B14" s="143" t="s">
        <v>424</v>
      </c>
      <c r="C14" s="141" t="s">
        <v>138</v>
      </c>
      <c r="D14" s="141" t="s">
        <v>24</v>
      </c>
      <c r="E14" s="147" t="s">
        <v>400</v>
      </c>
      <c r="F14" s="155" t="s">
        <v>25</v>
      </c>
      <c r="G14" s="147" t="s">
        <v>401</v>
      </c>
      <c r="H14" s="147">
        <v>16</v>
      </c>
      <c r="I14" s="147" t="s">
        <v>366</v>
      </c>
      <c r="J14" s="147"/>
      <c r="K14" s="156" t="s">
        <v>402</v>
      </c>
      <c r="L14" s="147" t="s">
        <v>403</v>
      </c>
      <c r="M14" s="147" t="s">
        <v>404</v>
      </c>
      <c r="N14" s="147" t="s">
        <v>405</v>
      </c>
      <c r="O14" s="147" t="s">
        <v>406</v>
      </c>
      <c r="P14" s="147" t="s">
        <v>407</v>
      </c>
      <c r="Q14" s="143">
        <v>0.24260000000000001</v>
      </c>
      <c r="R14" s="143">
        <v>0.3412</v>
      </c>
      <c r="S14" s="143">
        <v>2185</v>
      </c>
      <c r="T14" s="82" t="s">
        <v>423</v>
      </c>
      <c r="U14" s="143">
        <v>0.23430000000000001</v>
      </c>
      <c r="V14" s="143">
        <v>0.32450000000000001</v>
      </c>
    </row>
    <row r="15" spans="1:24" ht="15.95">
      <c r="A15" s="143">
        <v>185</v>
      </c>
      <c r="B15" s="143" t="s">
        <v>58</v>
      </c>
      <c r="C15" s="143" t="s">
        <v>243</v>
      </c>
      <c r="D15" s="143" t="s">
        <v>24</v>
      </c>
      <c r="E15" s="144" t="s">
        <v>400</v>
      </c>
      <c r="F15" s="152" t="s">
        <v>43</v>
      </c>
      <c r="G15" s="144" t="s">
        <v>401</v>
      </c>
      <c r="H15" s="144">
        <v>16</v>
      </c>
      <c r="I15" s="144" t="s">
        <v>366</v>
      </c>
      <c r="J15" s="144"/>
      <c r="K15" s="157" t="s">
        <v>402</v>
      </c>
      <c r="L15" s="144" t="s">
        <v>403</v>
      </c>
      <c r="M15" s="144" t="s">
        <v>404</v>
      </c>
      <c r="N15" s="144" t="s">
        <v>405</v>
      </c>
      <c r="O15" s="144" t="s">
        <v>406</v>
      </c>
      <c r="P15" s="144" t="s">
        <v>407</v>
      </c>
      <c r="Q15" s="143">
        <v>0.88249999999999995</v>
      </c>
      <c r="R15" s="143">
        <v>0.88629999999999998</v>
      </c>
      <c r="S15" s="143">
        <v>6775.68</v>
      </c>
      <c r="T15" s="186" t="s">
        <v>425</v>
      </c>
      <c r="U15" s="144">
        <v>0.88249999999999995</v>
      </c>
      <c r="V15" s="144">
        <v>0.88019999999999998</v>
      </c>
    </row>
    <row r="16" spans="1:24" ht="15.95">
      <c r="A16" s="143">
        <v>185</v>
      </c>
      <c r="B16" s="143" t="s">
        <v>59</v>
      </c>
      <c r="C16" s="141" t="s">
        <v>141</v>
      </c>
      <c r="D16" s="141" t="s">
        <v>24</v>
      </c>
      <c r="E16" s="147" t="s">
        <v>400</v>
      </c>
      <c r="F16" s="155" t="s">
        <v>25</v>
      </c>
      <c r="G16" s="147" t="s">
        <v>401</v>
      </c>
      <c r="H16" s="147">
        <v>16</v>
      </c>
      <c r="I16" s="147" t="s">
        <v>366</v>
      </c>
      <c r="J16" s="147"/>
      <c r="K16" s="156" t="s">
        <v>402</v>
      </c>
      <c r="L16" s="147" t="s">
        <v>403</v>
      </c>
      <c r="M16" s="147" t="s">
        <v>404</v>
      </c>
      <c r="N16" s="147" t="s">
        <v>405</v>
      </c>
      <c r="O16" s="147" t="s">
        <v>406</v>
      </c>
      <c r="P16" s="147" t="s">
        <v>407</v>
      </c>
      <c r="Q16" s="143">
        <v>0.81579999999999997</v>
      </c>
      <c r="R16" s="143">
        <v>0.81499999999999995</v>
      </c>
      <c r="S16" s="143">
        <v>13353.88</v>
      </c>
      <c r="T16" s="143" t="s">
        <v>425</v>
      </c>
      <c r="U16" s="143">
        <v>0.81120000000000003</v>
      </c>
      <c r="V16" s="143">
        <v>0.81120000000000003</v>
      </c>
    </row>
    <row r="17" spans="1:24" ht="15.95">
      <c r="A17" s="143">
        <v>185</v>
      </c>
      <c r="B17" s="143" t="s">
        <v>60</v>
      </c>
      <c r="C17" s="143" t="s">
        <v>243</v>
      </c>
      <c r="D17" s="143" t="s">
        <v>24</v>
      </c>
      <c r="E17" s="144" t="s">
        <v>400</v>
      </c>
      <c r="F17" s="152" t="s">
        <v>43</v>
      </c>
      <c r="G17" s="144" t="s">
        <v>401</v>
      </c>
      <c r="H17" s="144">
        <v>16</v>
      </c>
      <c r="I17" s="144" t="s">
        <v>366</v>
      </c>
      <c r="J17" s="144"/>
      <c r="K17" s="157" t="s">
        <v>402</v>
      </c>
      <c r="L17" s="144" t="s">
        <v>403</v>
      </c>
      <c r="M17" s="144" t="s">
        <v>404</v>
      </c>
      <c r="N17" s="144" t="s">
        <v>405</v>
      </c>
      <c r="O17" s="144" t="s">
        <v>406</v>
      </c>
      <c r="P17" s="144" t="s">
        <v>407</v>
      </c>
      <c r="Q17" s="143">
        <v>0.71719999999999995</v>
      </c>
      <c r="R17" s="143">
        <v>0.85750000000000004</v>
      </c>
      <c r="S17" s="143">
        <v>18525.36</v>
      </c>
      <c r="T17" s="143" t="s">
        <v>408</v>
      </c>
      <c r="U17" s="143">
        <v>0.70809999999999995</v>
      </c>
      <c r="V17" s="143">
        <v>0.85140000000000005</v>
      </c>
    </row>
    <row r="18" spans="1:24" ht="15.95">
      <c r="A18" s="143">
        <v>185</v>
      </c>
      <c r="B18" s="143" t="s">
        <v>61</v>
      </c>
      <c r="C18" s="141" t="s">
        <v>243</v>
      </c>
      <c r="D18" s="141" t="s">
        <v>24</v>
      </c>
      <c r="E18" s="147" t="s">
        <v>400</v>
      </c>
      <c r="F18" s="152" t="s">
        <v>43</v>
      </c>
      <c r="G18" s="147" t="s">
        <v>401</v>
      </c>
      <c r="H18" s="147">
        <v>16</v>
      </c>
      <c r="I18" s="147" t="s">
        <v>366</v>
      </c>
      <c r="J18" s="147"/>
      <c r="K18" s="156" t="s">
        <v>402</v>
      </c>
      <c r="L18" s="147" t="s">
        <v>403</v>
      </c>
      <c r="M18" s="147" t="s">
        <v>404</v>
      </c>
      <c r="N18" s="147" t="s">
        <v>405</v>
      </c>
      <c r="O18" s="147" t="s">
        <v>406</v>
      </c>
      <c r="P18" s="147" t="s">
        <v>407</v>
      </c>
      <c r="Q18" s="143">
        <v>0.70199999999999996</v>
      </c>
      <c r="R18" s="143">
        <v>0.83020000000000005</v>
      </c>
      <c r="S18" s="143">
        <v>11941.25</v>
      </c>
      <c r="T18" s="188" t="s">
        <v>425</v>
      </c>
      <c r="U18" s="144" t="s">
        <v>426</v>
      </c>
      <c r="V18" s="144"/>
    </row>
    <row r="19" spans="1:24" ht="15.95" hidden="1">
      <c r="A19" s="142">
        <v>185</v>
      </c>
      <c r="B19" s="146" t="s">
        <v>63</v>
      </c>
      <c r="C19" s="143" t="s">
        <v>243</v>
      </c>
      <c r="D19" s="143" t="s">
        <v>24</v>
      </c>
      <c r="E19" s="144" t="s">
        <v>400</v>
      </c>
      <c r="F19" s="152" t="s">
        <v>43</v>
      </c>
      <c r="G19" s="144" t="s">
        <v>401</v>
      </c>
      <c r="H19" s="144">
        <v>16</v>
      </c>
      <c r="I19" s="144" t="s">
        <v>366</v>
      </c>
      <c r="J19" s="144"/>
      <c r="K19" s="157" t="s">
        <v>402</v>
      </c>
      <c r="L19" s="144" t="s">
        <v>403</v>
      </c>
      <c r="M19" s="144" t="s">
        <v>404</v>
      </c>
      <c r="N19" s="144" t="s">
        <v>405</v>
      </c>
      <c r="O19" s="144" t="s">
        <v>406</v>
      </c>
      <c r="P19" s="144" t="s">
        <v>407</v>
      </c>
      <c r="Q19" s="149" t="s">
        <v>413</v>
      </c>
      <c r="R19" s="189"/>
      <c r="S19" s="189"/>
      <c r="T19" s="82" t="s">
        <v>427</v>
      </c>
      <c r="U19" s="144"/>
      <c r="V19" s="144"/>
      <c r="W19" s="194"/>
      <c r="X19" s="194" t="s">
        <v>428</v>
      </c>
    </row>
    <row r="20" spans="1:24" ht="15.95">
      <c r="A20" s="140" t="s">
        <v>125</v>
      </c>
      <c r="B20" s="217" t="s">
        <v>67</v>
      </c>
      <c r="C20" s="141" t="s">
        <v>151</v>
      </c>
      <c r="D20" s="141" t="s">
        <v>24</v>
      </c>
      <c r="E20" s="147" t="s">
        <v>400</v>
      </c>
      <c r="F20" s="152" t="s">
        <v>25</v>
      </c>
      <c r="G20" s="147" t="s">
        <v>401</v>
      </c>
      <c r="H20" s="147">
        <v>16</v>
      </c>
      <c r="I20" s="147" t="s">
        <v>366</v>
      </c>
      <c r="J20" s="147"/>
      <c r="K20" s="156" t="s">
        <v>402</v>
      </c>
      <c r="L20" s="147" t="s">
        <v>403</v>
      </c>
      <c r="M20" s="147" t="s">
        <v>404</v>
      </c>
      <c r="N20" s="147" t="s">
        <v>405</v>
      </c>
      <c r="O20" s="147" t="s">
        <v>406</v>
      </c>
      <c r="P20" s="147" t="s">
        <v>407</v>
      </c>
      <c r="Q20" s="143">
        <v>0.38290000000000002</v>
      </c>
      <c r="R20" s="143">
        <v>0.72860000000000003</v>
      </c>
      <c r="S20" s="143">
        <v>2750</v>
      </c>
      <c r="T20" s="143" t="s">
        <v>423</v>
      </c>
      <c r="U20" s="143">
        <v>0.37680000000000002</v>
      </c>
      <c r="V20" s="143">
        <v>0.71419999999999995</v>
      </c>
    </row>
    <row r="21" spans="1:24" ht="15.95">
      <c r="A21" s="142" t="s">
        <v>125</v>
      </c>
      <c r="B21" s="143" t="s">
        <v>68</v>
      </c>
      <c r="C21" s="143" t="s">
        <v>152</v>
      </c>
      <c r="D21" s="143" t="s">
        <v>24</v>
      </c>
      <c r="E21" s="144" t="s">
        <v>400</v>
      </c>
      <c r="F21" s="152" t="s">
        <v>25</v>
      </c>
      <c r="G21" s="144" t="s">
        <v>401</v>
      </c>
      <c r="H21" s="144">
        <v>16</v>
      </c>
      <c r="I21" s="144" t="s">
        <v>366</v>
      </c>
      <c r="J21" s="144"/>
      <c r="K21" s="157" t="s">
        <v>402</v>
      </c>
      <c r="L21" s="144" t="s">
        <v>403</v>
      </c>
      <c r="M21" s="144" t="s">
        <v>404</v>
      </c>
      <c r="N21" s="144" t="s">
        <v>405</v>
      </c>
      <c r="O21" s="144" t="s">
        <v>406</v>
      </c>
      <c r="P21" s="144" t="s">
        <v>407</v>
      </c>
      <c r="Q21" s="143">
        <v>0.6391</v>
      </c>
      <c r="R21" s="143">
        <v>0.81269999999999998</v>
      </c>
      <c r="S21" s="143">
        <v>5167</v>
      </c>
      <c r="T21" s="143" t="s">
        <v>423</v>
      </c>
      <c r="U21" s="143">
        <v>0.65280000000000005</v>
      </c>
      <c r="V21" s="143">
        <v>0.80359999999999998</v>
      </c>
    </row>
    <row r="22" spans="1:24" ht="15.95">
      <c r="A22" s="140" t="s">
        <v>125</v>
      </c>
      <c r="B22" s="218" t="s">
        <v>69</v>
      </c>
      <c r="C22" s="141" t="s">
        <v>153</v>
      </c>
      <c r="D22" s="141" t="s">
        <v>24</v>
      </c>
      <c r="E22" s="147" t="s">
        <v>400</v>
      </c>
      <c r="F22" s="152" t="s">
        <v>25</v>
      </c>
      <c r="G22" s="147" t="s">
        <v>401</v>
      </c>
      <c r="H22" s="147">
        <v>16</v>
      </c>
      <c r="I22" s="147" t="s">
        <v>366</v>
      </c>
      <c r="J22" s="147"/>
      <c r="K22" s="156" t="s">
        <v>402</v>
      </c>
      <c r="L22" s="147" t="s">
        <v>403</v>
      </c>
      <c r="M22" s="147" t="s">
        <v>404</v>
      </c>
      <c r="N22" s="147" t="s">
        <v>405</v>
      </c>
      <c r="O22" s="147" t="s">
        <v>406</v>
      </c>
      <c r="P22" s="147" t="s">
        <v>407</v>
      </c>
      <c r="Q22" s="143">
        <v>0.74750000000000005</v>
      </c>
      <c r="R22" s="143">
        <v>0.79610000000000003</v>
      </c>
      <c r="S22" s="143">
        <v>10028</v>
      </c>
      <c r="T22" s="143" t="s">
        <v>423</v>
      </c>
      <c r="U22" s="143">
        <v>0.75209999999999999</v>
      </c>
      <c r="V22" s="143">
        <v>0.79149999999999998</v>
      </c>
    </row>
    <row r="23" spans="1:24" ht="15.95" hidden="1">
      <c r="A23" s="142" t="s">
        <v>125</v>
      </c>
      <c r="B23" s="146" t="s">
        <v>71</v>
      </c>
      <c r="C23" s="143" t="s">
        <v>154</v>
      </c>
      <c r="D23" s="143" t="s">
        <v>24</v>
      </c>
      <c r="E23" s="144" t="s">
        <v>400</v>
      </c>
      <c r="F23" s="152" t="s">
        <v>25</v>
      </c>
      <c r="G23" s="144" t="s">
        <v>401</v>
      </c>
      <c r="H23" s="144">
        <v>16</v>
      </c>
      <c r="I23" s="144" t="s">
        <v>366</v>
      </c>
      <c r="J23" s="144"/>
      <c r="K23" s="157" t="s">
        <v>402</v>
      </c>
      <c r="L23" s="144" t="s">
        <v>403</v>
      </c>
      <c r="M23" s="144" t="s">
        <v>404</v>
      </c>
      <c r="N23" s="144" t="s">
        <v>405</v>
      </c>
      <c r="O23" s="144" t="s">
        <v>406</v>
      </c>
      <c r="P23" s="144" t="s">
        <v>407</v>
      </c>
      <c r="Q23" s="191" t="s">
        <v>429</v>
      </c>
      <c r="R23" s="189"/>
      <c r="S23" s="189"/>
      <c r="T23" s="143" t="s">
        <v>430</v>
      </c>
      <c r="U23" s="144"/>
      <c r="V23" s="144"/>
    </row>
    <row r="24" spans="1:24" ht="15.95">
      <c r="A24" s="140">
        <v>185</v>
      </c>
      <c r="B24" s="141" t="s">
        <v>72</v>
      </c>
      <c r="C24" s="141" t="s">
        <v>155</v>
      </c>
      <c r="D24" s="141" t="s">
        <v>24</v>
      </c>
      <c r="E24" s="147" t="s">
        <v>400</v>
      </c>
      <c r="F24" s="152" t="s">
        <v>25</v>
      </c>
      <c r="G24" s="147" t="s">
        <v>401</v>
      </c>
      <c r="H24" s="147">
        <v>16</v>
      </c>
      <c r="I24" s="147" t="s">
        <v>366</v>
      </c>
      <c r="J24" s="147"/>
      <c r="K24" s="156" t="s">
        <v>402</v>
      </c>
      <c r="L24" s="147" t="s">
        <v>403</v>
      </c>
      <c r="M24" s="147" t="s">
        <v>404</v>
      </c>
      <c r="N24" s="147" t="s">
        <v>405</v>
      </c>
      <c r="O24" s="147" t="s">
        <v>406</v>
      </c>
      <c r="P24" s="147" t="s">
        <v>407</v>
      </c>
      <c r="Q24" s="143">
        <v>0.43519999999999998</v>
      </c>
      <c r="R24" s="143">
        <v>0.43969999999999998</v>
      </c>
      <c r="S24" s="143">
        <v>2463.0300000000002</v>
      </c>
      <c r="T24" s="190" t="s">
        <v>425</v>
      </c>
      <c r="U24" s="144"/>
      <c r="V24" s="144"/>
    </row>
    <row r="25" spans="1:24" ht="15.95">
      <c r="A25" s="142" t="s">
        <v>125</v>
      </c>
      <c r="B25" s="143" t="s">
        <v>74</v>
      </c>
      <c r="C25" s="143" t="s">
        <v>157</v>
      </c>
      <c r="D25" s="143" t="s">
        <v>24</v>
      </c>
      <c r="E25" s="144" t="s">
        <v>400</v>
      </c>
      <c r="F25" s="152" t="s">
        <v>25</v>
      </c>
      <c r="G25" s="144" t="s">
        <v>401</v>
      </c>
      <c r="H25" s="144">
        <v>16</v>
      </c>
      <c r="I25" s="144" t="s">
        <v>366</v>
      </c>
      <c r="J25" s="144"/>
      <c r="K25" s="157" t="s">
        <v>402</v>
      </c>
      <c r="L25" s="144" t="s">
        <v>403</v>
      </c>
      <c r="M25" s="144" t="s">
        <v>404</v>
      </c>
      <c r="N25" s="144" t="s">
        <v>405</v>
      </c>
      <c r="O25" s="144" t="s">
        <v>406</v>
      </c>
      <c r="P25" s="144" t="s">
        <v>407</v>
      </c>
      <c r="Q25" s="143">
        <v>0.38440000000000002</v>
      </c>
      <c r="R25" s="143">
        <v>0.58609999999999995</v>
      </c>
      <c r="S25" s="143">
        <v>1783</v>
      </c>
      <c r="T25" s="82" t="s">
        <v>423</v>
      </c>
      <c r="U25" s="144">
        <v>0.39269999999999999</v>
      </c>
      <c r="V25" s="144">
        <v>0.59209999999999996</v>
      </c>
    </row>
    <row r="26" spans="1:24" ht="15.95">
      <c r="A26" s="140" t="s">
        <v>125</v>
      </c>
      <c r="B26" s="141" t="s">
        <v>75</v>
      </c>
      <c r="C26" s="141" t="s">
        <v>158</v>
      </c>
      <c r="D26" s="141" t="s">
        <v>24</v>
      </c>
      <c r="E26" s="147" t="s">
        <v>400</v>
      </c>
      <c r="F26" s="152" t="s">
        <v>25</v>
      </c>
      <c r="G26" s="147" t="s">
        <v>401</v>
      </c>
      <c r="H26" s="147">
        <v>16</v>
      </c>
      <c r="I26" s="147" t="s">
        <v>366</v>
      </c>
      <c r="J26" s="147"/>
      <c r="K26" s="156" t="s">
        <v>402</v>
      </c>
      <c r="L26" s="147" t="s">
        <v>403</v>
      </c>
      <c r="M26" s="147" t="s">
        <v>404</v>
      </c>
      <c r="N26" s="147" t="s">
        <v>405</v>
      </c>
      <c r="O26" s="147" t="s">
        <v>406</v>
      </c>
      <c r="P26" s="147" t="s">
        <v>407</v>
      </c>
      <c r="Q26" s="143">
        <v>0.77859999999999996</v>
      </c>
      <c r="R26" s="143">
        <v>0.57540000000000002</v>
      </c>
      <c r="S26" s="143">
        <v>1971</v>
      </c>
      <c r="T26" s="82" t="s">
        <v>423</v>
      </c>
      <c r="U26" s="144" t="s">
        <v>431</v>
      </c>
      <c r="V26" s="144"/>
    </row>
    <row r="27" spans="1:24" ht="15.95" hidden="1">
      <c r="A27" s="142" t="s">
        <v>125</v>
      </c>
      <c r="B27" s="146" t="s">
        <v>80</v>
      </c>
      <c r="C27" s="143" t="s">
        <v>243</v>
      </c>
      <c r="D27" s="143" t="s">
        <v>24</v>
      </c>
      <c r="E27" s="144" t="s">
        <v>400</v>
      </c>
      <c r="F27" s="152" t="s">
        <v>25</v>
      </c>
      <c r="G27" s="144" t="s">
        <v>401</v>
      </c>
      <c r="H27" s="144">
        <v>16</v>
      </c>
      <c r="I27" s="144" t="s">
        <v>366</v>
      </c>
      <c r="J27" s="144"/>
      <c r="K27" s="157" t="s">
        <v>402</v>
      </c>
      <c r="L27" s="144" t="s">
        <v>403</v>
      </c>
      <c r="M27" s="144" t="s">
        <v>404</v>
      </c>
      <c r="N27" s="144" t="s">
        <v>405</v>
      </c>
      <c r="O27" s="144" t="s">
        <v>406</v>
      </c>
      <c r="P27" s="144" t="s">
        <v>407</v>
      </c>
      <c r="Q27" s="149" t="s">
        <v>413</v>
      </c>
      <c r="R27" s="189"/>
      <c r="S27" s="189"/>
      <c r="T27" s="82" t="s">
        <v>432</v>
      </c>
      <c r="U27" s="144"/>
      <c r="V27" s="144"/>
    </row>
    <row r="28" spans="1:24" ht="15.95">
      <c r="A28" s="142">
        <v>185</v>
      </c>
      <c r="B28" s="143" t="s">
        <v>77</v>
      </c>
      <c r="C28" s="143" t="s">
        <v>243</v>
      </c>
      <c r="D28" s="143" t="s">
        <v>24</v>
      </c>
      <c r="E28" s="144" t="s">
        <v>400</v>
      </c>
      <c r="F28" s="152" t="s">
        <v>43</v>
      </c>
      <c r="G28" s="144" t="s">
        <v>401</v>
      </c>
      <c r="H28" s="144">
        <v>16</v>
      </c>
      <c r="I28" s="144" t="s">
        <v>366</v>
      </c>
      <c r="J28" s="144"/>
      <c r="K28" s="157" t="s">
        <v>402</v>
      </c>
      <c r="L28" s="144" t="s">
        <v>403</v>
      </c>
      <c r="M28" s="144" t="s">
        <v>404</v>
      </c>
      <c r="N28" s="144" t="s">
        <v>405</v>
      </c>
      <c r="O28" s="144" t="s">
        <v>406</v>
      </c>
      <c r="P28" s="144" t="s">
        <v>407</v>
      </c>
      <c r="Q28" s="143">
        <v>0.80059999999999998</v>
      </c>
      <c r="R28" s="143">
        <v>0.92869999999999997</v>
      </c>
      <c r="S28" s="143">
        <v>7881.84</v>
      </c>
      <c r="T28" s="192" t="s">
        <v>408</v>
      </c>
      <c r="U28" s="144"/>
      <c r="V28" s="144"/>
    </row>
    <row r="29" spans="1:24" ht="15.95">
      <c r="A29" s="140">
        <v>185</v>
      </c>
      <c r="B29" s="219" t="s">
        <v>84</v>
      </c>
      <c r="C29" s="141" t="s">
        <v>160</v>
      </c>
      <c r="D29" s="141" t="s">
        <v>85</v>
      </c>
      <c r="E29" s="147" t="s">
        <v>400</v>
      </c>
      <c r="F29" s="152" t="s">
        <v>25</v>
      </c>
      <c r="G29" s="147" t="s">
        <v>401</v>
      </c>
      <c r="H29" s="147">
        <v>16</v>
      </c>
      <c r="I29" s="147" t="s">
        <v>366</v>
      </c>
      <c r="J29" s="147"/>
      <c r="K29" s="156" t="s">
        <v>402</v>
      </c>
      <c r="L29" s="147" t="s">
        <v>403</v>
      </c>
      <c r="M29" s="147" t="s">
        <v>404</v>
      </c>
      <c r="N29" s="147" t="s">
        <v>405</v>
      </c>
      <c r="O29" s="147" t="s">
        <v>406</v>
      </c>
      <c r="P29" s="147" t="s">
        <v>407</v>
      </c>
      <c r="Q29" s="140"/>
      <c r="R29" s="141"/>
      <c r="S29" s="140"/>
      <c r="T29" s="141"/>
      <c r="U29" s="144"/>
      <c r="V29" s="144"/>
    </row>
    <row r="30" spans="1:24" ht="15.95">
      <c r="A30" s="142">
        <v>185</v>
      </c>
      <c r="B30" s="219" t="s">
        <v>86</v>
      </c>
      <c r="C30" s="143" t="s">
        <v>179</v>
      </c>
      <c r="D30" s="143" t="s">
        <v>85</v>
      </c>
      <c r="E30" s="144" t="s">
        <v>400</v>
      </c>
      <c r="F30" s="152" t="s">
        <v>25</v>
      </c>
      <c r="G30" s="144" t="s">
        <v>401</v>
      </c>
      <c r="H30" s="144">
        <v>16</v>
      </c>
      <c r="I30" s="144" t="s">
        <v>366</v>
      </c>
      <c r="J30" s="144"/>
      <c r="K30" s="157" t="s">
        <v>402</v>
      </c>
      <c r="L30" s="144" t="s">
        <v>403</v>
      </c>
      <c r="M30" s="144" t="s">
        <v>404</v>
      </c>
      <c r="N30" s="144" t="s">
        <v>405</v>
      </c>
      <c r="O30" s="144" t="s">
        <v>406</v>
      </c>
      <c r="P30" s="144" t="s">
        <v>407</v>
      </c>
      <c r="Q30" s="143"/>
      <c r="R30" s="143"/>
      <c r="S30" s="143"/>
      <c r="T30" s="143"/>
      <c r="U30" s="144"/>
      <c r="V30" s="144"/>
    </row>
    <row r="31" spans="1:24" ht="15.95">
      <c r="A31" s="140">
        <v>185</v>
      </c>
      <c r="B31" s="219" t="s">
        <v>87</v>
      </c>
      <c r="C31" s="141" t="s">
        <v>181</v>
      </c>
      <c r="D31" s="141" t="s">
        <v>85</v>
      </c>
      <c r="E31" s="147" t="s">
        <v>400</v>
      </c>
      <c r="F31" s="152" t="s">
        <v>25</v>
      </c>
      <c r="G31" s="147" t="s">
        <v>401</v>
      </c>
      <c r="H31" s="147">
        <v>16</v>
      </c>
      <c r="I31" s="147" t="s">
        <v>366</v>
      </c>
      <c r="J31" s="147"/>
      <c r="K31" s="156" t="s">
        <v>402</v>
      </c>
      <c r="L31" s="147" t="s">
        <v>403</v>
      </c>
      <c r="M31" s="147" t="s">
        <v>404</v>
      </c>
      <c r="N31" s="147" t="s">
        <v>405</v>
      </c>
      <c r="O31" s="147" t="s">
        <v>406</v>
      </c>
      <c r="P31" s="147" t="s">
        <v>407</v>
      </c>
      <c r="Q31" s="141"/>
      <c r="R31" s="141"/>
      <c r="S31" s="141"/>
      <c r="T31" s="141"/>
      <c r="U31" s="144"/>
      <c r="V31" s="144"/>
    </row>
    <row r="32" spans="1:24" ht="15.95">
      <c r="A32" s="142">
        <v>185</v>
      </c>
      <c r="B32" s="219" t="s">
        <v>88</v>
      </c>
      <c r="C32" s="143" t="s">
        <v>183</v>
      </c>
      <c r="D32" s="143" t="s">
        <v>85</v>
      </c>
      <c r="E32" s="144" t="s">
        <v>400</v>
      </c>
      <c r="F32" s="152" t="s">
        <v>32</v>
      </c>
      <c r="G32" s="144" t="s">
        <v>401</v>
      </c>
      <c r="H32" s="144">
        <v>16</v>
      </c>
      <c r="I32" s="144" t="s">
        <v>366</v>
      </c>
      <c r="J32" s="144"/>
      <c r="K32" s="157" t="s">
        <v>402</v>
      </c>
      <c r="L32" s="144" t="s">
        <v>403</v>
      </c>
      <c r="M32" s="144" t="s">
        <v>404</v>
      </c>
      <c r="N32" s="144" t="s">
        <v>405</v>
      </c>
      <c r="O32" s="144" t="s">
        <v>406</v>
      </c>
      <c r="P32" s="144" t="s">
        <v>407</v>
      </c>
      <c r="Q32" s="143">
        <v>0</v>
      </c>
      <c r="R32" s="143">
        <v>0.85289999999999999</v>
      </c>
      <c r="S32" s="143">
        <v>12302.06</v>
      </c>
      <c r="T32" s="143"/>
      <c r="U32" s="144"/>
      <c r="V32" s="144"/>
    </row>
    <row r="33" spans="1:22" ht="15.95">
      <c r="A33" s="140" t="s">
        <v>125</v>
      </c>
      <c r="B33" s="219" t="s">
        <v>89</v>
      </c>
      <c r="C33" s="141" t="s">
        <v>243</v>
      </c>
      <c r="D33" s="141" t="s">
        <v>85</v>
      </c>
      <c r="E33" s="147" t="s">
        <v>400</v>
      </c>
      <c r="F33" s="152" t="s">
        <v>32</v>
      </c>
      <c r="G33" s="147" t="s">
        <v>401</v>
      </c>
      <c r="H33" s="147">
        <v>16</v>
      </c>
      <c r="I33" s="147" t="s">
        <v>366</v>
      </c>
      <c r="J33" s="147"/>
      <c r="K33" s="156" t="s">
        <v>402</v>
      </c>
      <c r="L33" s="147" t="s">
        <v>403</v>
      </c>
      <c r="M33" s="147" t="s">
        <v>404</v>
      </c>
      <c r="N33" s="147" t="s">
        <v>405</v>
      </c>
      <c r="O33" s="147" t="s">
        <v>406</v>
      </c>
      <c r="P33" s="147" t="s">
        <v>407</v>
      </c>
      <c r="Q33" s="140"/>
      <c r="R33" s="141"/>
      <c r="S33" s="140"/>
      <c r="T33" s="141"/>
      <c r="U33" s="144"/>
      <c r="V33" s="144"/>
    </row>
    <row r="34" spans="1:22" ht="15.95">
      <c r="A34" s="142" t="s">
        <v>125</v>
      </c>
      <c r="B34" s="219" t="s">
        <v>91</v>
      </c>
      <c r="C34" s="143" t="s">
        <v>243</v>
      </c>
      <c r="D34" s="143" t="s">
        <v>92</v>
      </c>
      <c r="E34" s="144" t="s">
        <v>400</v>
      </c>
      <c r="F34" s="152" t="s">
        <v>25</v>
      </c>
      <c r="G34" s="144" t="s">
        <v>401</v>
      </c>
      <c r="H34" s="144">
        <v>16</v>
      </c>
      <c r="I34" s="144" t="s">
        <v>366</v>
      </c>
      <c r="J34" s="144"/>
      <c r="K34" s="157" t="s">
        <v>402</v>
      </c>
      <c r="L34" s="144" t="s">
        <v>403</v>
      </c>
      <c r="M34" s="144" t="s">
        <v>404</v>
      </c>
      <c r="N34" s="144" t="s">
        <v>405</v>
      </c>
      <c r="O34" s="144" t="s">
        <v>406</v>
      </c>
      <c r="P34" s="144" t="s">
        <v>407</v>
      </c>
      <c r="Q34" s="143"/>
      <c r="R34" s="143"/>
      <c r="S34" s="143"/>
      <c r="T34" s="143"/>
      <c r="U34" s="144"/>
      <c r="V34" s="144"/>
    </row>
    <row r="35" spans="1:22" ht="15.95">
      <c r="A35" s="140" t="s">
        <v>125</v>
      </c>
      <c r="B35" s="219" t="s">
        <v>93</v>
      </c>
      <c r="C35" s="141" t="s">
        <v>243</v>
      </c>
      <c r="D35" s="141" t="s">
        <v>92</v>
      </c>
      <c r="E35" s="147" t="s">
        <v>400</v>
      </c>
      <c r="F35" s="152" t="s">
        <v>25</v>
      </c>
      <c r="G35" s="147" t="s">
        <v>401</v>
      </c>
      <c r="H35" s="147">
        <v>16</v>
      </c>
      <c r="I35" s="147" t="s">
        <v>366</v>
      </c>
      <c r="J35" s="147"/>
      <c r="K35" s="156" t="s">
        <v>402</v>
      </c>
      <c r="L35" s="147" t="s">
        <v>403</v>
      </c>
      <c r="M35" s="147" t="s">
        <v>404</v>
      </c>
      <c r="N35" s="147" t="s">
        <v>405</v>
      </c>
      <c r="O35" s="147" t="s">
        <v>406</v>
      </c>
      <c r="P35" s="147" t="s">
        <v>407</v>
      </c>
      <c r="Q35" s="141"/>
      <c r="R35" s="141"/>
      <c r="S35" s="141"/>
      <c r="T35" s="141"/>
      <c r="U35" s="144"/>
      <c r="V35" s="144"/>
    </row>
    <row r="36" spans="1:22" ht="15.95">
      <c r="A36" s="142">
        <v>185</v>
      </c>
      <c r="B36" s="219" t="s">
        <v>94</v>
      </c>
      <c r="C36" s="143" t="s">
        <v>199</v>
      </c>
      <c r="D36" s="143" t="s">
        <v>92</v>
      </c>
      <c r="E36" s="144" t="s">
        <v>400</v>
      </c>
      <c r="F36" s="152" t="s">
        <v>25</v>
      </c>
      <c r="G36" s="144" t="s">
        <v>401</v>
      </c>
      <c r="H36" s="144">
        <v>16</v>
      </c>
      <c r="I36" s="144" t="s">
        <v>366</v>
      </c>
      <c r="J36" s="144"/>
      <c r="K36" s="157" t="s">
        <v>402</v>
      </c>
      <c r="L36" s="144" t="s">
        <v>403</v>
      </c>
      <c r="M36" s="144" t="s">
        <v>404</v>
      </c>
      <c r="N36" s="144" t="s">
        <v>405</v>
      </c>
      <c r="O36" s="144" t="s">
        <v>406</v>
      </c>
      <c r="P36" s="144" t="s">
        <v>407</v>
      </c>
      <c r="Q36" s="143"/>
      <c r="R36" s="143"/>
      <c r="S36" s="143"/>
      <c r="T36" s="143"/>
      <c r="U36" s="144"/>
      <c r="V36" s="144"/>
    </row>
    <row r="37" spans="1:22" ht="15.95">
      <c r="A37" s="140">
        <v>185</v>
      </c>
      <c r="B37" s="219" t="s">
        <v>95</v>
      </c>
      <c r="C37" s="141" t="s">
        <v>200</v>
      </c>
      <c r="D37" s="141" t="s">
        <v>92</v>
      </c>
      <c r="E37" s="147" t="s">
        <v>400</v>
      </c>
      <c r="F37" s="152" t="s">
        <v>32</v>
      </c>
      <c r="G37" s="147" t="s">
        <v>401</v>
      </c>
      <c r="H37" s="147">
        <v>16</v>
      </c>
      <c r="I37" s="147" t="s">
        <v>366</v>
      </c>
      <c r="J37" s="147"/>
      <c r="K37" s="156" t="s">
        <v>402</v>
      </c>
      <c r="L37" s="147" t="s">
        <v>403</v>
      </c>
      <c r="M37" s="147" t="s">
        <v>404</v>
      </c>
      <c r="N37" s="147" t="s">
        <v>405</v>
      </c>
      <c r="O37" s="147" t="s">
        <v>406</v>
      </c>
      <c r="P37" s="147" t="s">
        <v>407</v>
      </c>
      <c r="Q37" s="140"/>
      <c r="R37" s="141"/>
      <c r="S37" s="140"/>
      <c r="T37" s="141"/>
      <c r="U37" s="144"/>
      <c r="V37" s="144"/>
    </row>
    <row r="38" spans="1:22" ht="15.95">
      <c r="A38" s="142">
        <v>185</v>
      </c>
      <c r="B38" s="219" t="s">
        <v>96</v>
      </c>
      <c r="C38" s="143" t="s">
        <v>201</v>
      </c>
      <c r="D38" s="143" t="s">
        <v>92</v>
      </c>
      <c r="E38" s="144" t="s">
        <v>400</v>
      </c>
      <c r="F38" s="152" t="s">
        <v>43</v>
      </c>
      <c r="G38" s="144" t="s">
        <v>401</v>
      </c>
      <c r="H38" s="144">
        <v>16</v>
      </c>
      <c r="I38" s="144" t="s">
        <v>366</v>
      </c>
      <c r="J38" s="144"/>
      <c r="K38" s="157" t="s">
        <v>402</v>
      </c>
      <c r="L38" s="144" t="s">
        <v>403</v>
      </c>
      <c r="M38" s="144" t="s">
        <v>404</v>
      </c>
      <c r="N38" s="144" t="s">
        <v>405</v>
      </c>
      <c r="O38" s="144" t="s">
        <v>406</v>
      </c>
      <c r="P38" s="144" t="s">
        <v>407</v>
      </c>
      <c r="Q38" s="143"/>
      <c r="R38" s="143"/>
      <c r="S38" s="143"/>
      <c r="T38" s="143"/>
      <c r="U38" s="144"/>
      <c r="V38" s="144"/>
    </row>
    <row r="39" spans="1:22" ht="15.95">
      <c r="A39" s="140" t="s">
        <v>125</v>
      </c>
      <c r="B39" s="219" t="s">
        <v>97</v>
      </c>
      <c r="C39" s="141" t="s">
        <v>243</v>
      </c>
      <c r="D39" s="141" t="s">
        <v>92</v>
      </c>
      <c r="E39" s="147" t="s">
        <v>400</v>
      </c>
      <c r="F39" s="152" t="s">
        <v>25</v>
      </c>
      <c r="G39" s="147" t="s">
        <v>401</v>
      </c>
      <c r="H39" s="147">
        <v>16</v>
      </c>
      <c r="I39" s="147" t="s">
        <v>366</v>
      </c>
      <c r="J39" s="147"/>
      <c r="K39" s="156" t="s">
        <v>402</v>
      </c>
      <c r="L39" s="147" t="s">
        <v>403</v>
      </c>
      <c r="M39" s="147" t="s">
        <v>404</v>
      </c>
      <c r="N39" s="147" t="s">
        <v>405</v>
      </c>
      <c r="O39" s="147" t="s">
        <v>406</v>
      </c>
      <c r="P39" s="147" t="s">
        <v>407</v>
      </c>
      <c r="Q39" s="141"/>
      <c r="R39" s="141"/>
      <c r="S39" s="141"/>
      <c r="T39" s="141"/>
      <c r="U39" s="144"/>
      <c r="V39" s="144"/>
    </row>
    <row r="40" spans="1:22" ht="15.95">
      <c r="A40" s="140">
        <v>185</v>
      </c>
      <c r="B40" s="219" t="s">
        <v>98</v>
      </c>
      <c r="C40" s="141" t="s">
        <v>209</v>
      </c>
      <c r="D40" s="141" t="s">
        <v>92</v>
      </c>
      <c r="E40" s="147" t="s">
        <v>400</v>
      </c>
      <c r="F40" s="152" t="s">
        <v>25</v>
      </c>
      <c r="G40" s="147" t="s">
        <v>401</v>
      </c>
      <c r="H40" s="147">
        <v>16</v>
      </c>
      <c r="I40" s="147" t="s">
        <v>366</v>
      </c>
      <c r="J40" s="147"/>
      <c r="K40" s="156" t="s">
        <v>402</v>
      </c>
      <c r="L40" s="147" t="s">
        <v>403</v>
      </c>
      <c r="M40" s="147" t="s">
        <v>404</v>
      </c>
      <c r="N40" s="147" t="s">
        <v>405</v>
      </c>
      <c r="O40" s="147" t="s">
        <v>406</v>
      </c>
      <c r="P40" s="147" t="s">
        <v>407</v>
      </c>
      <c r="Q40" s="140"/>
      <c r="R40" s="141"/>
      <c r="S40" s="140"/>
      <c r="T40" s="141"/>
      <c r="U40" s="144"/>
      <c r="V40" s="144"/>
    </row>
    <row r="41" spans="1:22" ht="15.95">
      <c r="A41" s="142" t="s">
        <v>125</v>
      </c>
      <c r="B41" s="219" t="s">
        <v>99</v>
      </c>
      <c r="C41" s="143" t="s">
        <v>243</v>
      </c>
      <c r="D41" s="143" t="s">
        <v>92</v>
      </c>
      <c r="E41" s="144" t="s">
        <v>400</v>
      </c>
      <c r="F41" s="152" t="s">
        <v>25</v>
      </c>
      <c r="G41" s="144" t="s">
        <v>401</v>
      </c>
      <c r="H41" s="144">
        <v>16</v>
      </c>
      <c r="I41" s="144" t="s">
        <v>366</v>
      </c>
      <c r="J41" s="144"/>
      <c r="K41" s="157" t="s">
        <v>402</v>
      </c>
      <c r="L41" s="144" t="s">
        <v>403</v>
      </c>
      <c r="M41" s="144" t="s">
        <v>404</v>
      </c>
      <c r="N41" s="144" t="s">
        <v>405</v>
      </c>
      <c r="O41" s="144" t="s">
        <v>406</v>
      </c>
      <c r="P41" s="144" t="s">
        <v>407</v>
      </c>
      <c r="Q41" s="143"/>
      <c r="R41" s="143"/>
      <c r="S41" s="143"/>
      <c r="T41" s="143"/>
      <c r="U41" s="144"/>
      <c r="V41" s="144"/>
    </row>
    <row r="42" spans="1:22" ht="15.95">
      <c r="A42" s="140" t="s">
        <v>125</v>
      </c>
      <c r="B42" s="219" t="s">
        <v>100</v>
      </c>
      <c r="C42" s="141" t="s">
        <v>243</v>
      </c>
      <c r="D42" s="141" t="s">
        <v>92</v>
      </c>
      <c r="E42" s="147" t="s">
        <v>400</v>
      </c>
      <c r="F42" s="152" t="s">
        <v>25</v>
      </c>
      <c r="G42" s="147" t="s">
        <v>401</v>
      </c>
      <c r="H42" s="147">
        <v>16</v>
      </c>
      <c r="I42" s="147" t="s">
        <v>366</v>
      </c>
      <c r="J42" s="147"/>
      <c r="K42" s="156" t="s">
        <v>402</v>
      </c>
      <c r="L42" s="147" t="s">
        <v>403</v>
      </c>
      <c r="M42" s="147" t="s">
        <v>404</v>
      </c>
      <c r="N42" s="147" t="s">
        <v>405</v>
      </c>
      <c r="O42" s="147" t="s">
        <v>406</v>
      </c>
      <c r="P42" s="147" t="s">
        <v>407</v>
      </c>
      <c r="Q42" s="141"/>
      <c r="R42" s="141"/>
      <c r="S42" s="141"/>
      <c r="T42" s="141"/>
      <c r="U42" s="144"/>
      <c r="V42" s="144"/>
    </row>
    <row r="43" spans="1:22" ht="15.95">
      <c r="A43" s="142" t="s">
        <v>125</v>
      </c>
      <c r="B43" s="219" t="s">
        <v>90</v>
      </c>
      <c r="C43" s="143" t="s">
        <v>243</v>
      </c>
      <c r="D43" s="143" t="s">
        <v>85</v>
      </c>
      <c r="E43" s="144" t="s">
        <v>400</v>
      </c>
      <c r="F43" s="152" t="s">
        <v>25</v>
      </c>
      <c r="G43" s="144" t="s">
        <v>401</v>
      </c>
      <c r="H43" s="144">
        <v>16</v>
      </c>
      <c r="I43" s="144" t="s">
        <v>366</v>
      </c>
      <c r="J43" s="144"/>
      <c r="K43" s="157" t="s">
        <v>402</v>
      </c>
      <c r="L43" s="144" t="s">
        <v>403</v>
      </c>
      <c r="M43" s="144" t="s">
        <v>404</v>
      </c>
      <c r="N43" s="144" t="s">
        <v>405</v>
      </c>
      <c r="O43" s="144" t="s">
        <v>406</v>
      </c>
      <c r="P43" s="144" t="s">
        <v>407</v>
      </c>
      <c r="Q43" s="143"/>
      <c r="R43" s="143"/>
      <c r="S43" s="143"/>
      <c r="T43" s="143"/>
      <c r="U43" s="203"/>
      <c r="V43" s="203"/>
    </row>
    <row r="48" spans="1:22" ht="15.95">
      <c r="B48" t="s">
        <v>433</v>
      </c>
    </row>
    <row r="49" spans="2:19" ht="15.95">
      <c r="B49" s="143" t="s">
        <v>29</v>
      </c>
    </row>
    <row r="50" spans="2:19" ht="15.95">
      <c r="B50" s="141" t="s">
        <v>57</v>
      </c>
      <c r="C50" s="140" t="s">
        <v>424</v>
      </c>
    </row>
    <row r="59" spans="2:19" ht="384">
      <c r="B59" s="196" t="s">
        <v>36</v>
      </c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8" t="s">
        <v>434</v>
      </c>
      <c r="R59" s="197"/>
      <c r="S59" s="197"/>
    </row>
    <row r="60" spans="2:19" ht="15.95">
      <c r="B60" s="196" t="s">
        <v>40</v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</row>
    <row r="61" spans="2:19" ht="15.95">
      <c r="B61" s="196" t="s">
        <v>51</v>
      </c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9" t="s">
        <v>435</v>
      </c>
      <c r="R61" s="197"/>
      <c r="S61" s="197"/>
    </row>
    <row r="62" spans="2:19" ht="384">
      <c r="B62" s="196" t="s">
        <v>63</v>
      </c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8" t="s">
        <v>436</v>
      </c>
      <c r="R62" s="200" t="s">
        <v>428</v>
      </c>
      <c r="S62" s="197"/>
    </row>
    <row r="63" spans="2:19" ht="15.95">
      <c r="B63" s="196" t="s">
        <v>71</v>
      </c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201" t="s">
        <v>437</v>
      </c>
      <c r="R63" s="199" t="s">
        <v>438</v>
      </c>
      <c r="S63" s="197"/>
    </row>
    <row r="64" spans="2:19" ht="15.95">
      <c r="B64" s="196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201" t="s">
        <v>439</v>
      </c>
      <c r="R64" s="199" t="s">
        <v>438</v>
      </c>
      <c r="S64" s="197"/>
    </row>
    <row r="65" spans="2:19" ht="15.95">
      <c r="B65" s="196" t="s">
        <v>80</v>
      </c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9" t="s">
        <v>440</v>
      </c>
      <c r="R65" s="197"/>
      <c r="S65" s="197"/>
    </row>
    <row r="66" spans="2:19" ht="15.95">
      <c r="Q66" s="195"/>
    </row>
    <row r="67" spans="2:19" ht="15.95">
      <c r="Q67" s="195"/>
    </row>
  </sheetData>
  <hyperlinks>
    <hyperlink ref="T3" r:id="rId1" xr:uid="{B873BFFA-4A0E-4C1A-A86B-C311E210305B}"/>
    <hyperlink ref="T12" r:id="rId2" xr:uid="{099018DD-CBC2-4257-83E9-17BE0162824A}"/>
    <hyperlink ref="T14" r:id="rId3" xr:uid="{2A1EB202-6414-443A-AEFC-7BA02F594DAB}"/>
    <hyperlink ref="T20" r:id="rId4" xr:uid="{154A747B-6F30-4293-918B-7CA08F4FB510}"/>
    <hyperlink ref="T21" r:id="rId5" xr:uid="{C78167BA-CD03-4C6C-BD8D-1FA276144747}"/>
    <hyperlink ref="T22" r:id="rId6" xr:uid="{3090DE7A-1D89-4B55-B8F0-4841CE0951AA}"/>
    <hyperlink ref="T25" r:id="rId7" xr:uid="{BDBEF662-F884-41AF-BC74-F103ADBAFFE0}"/>
    <hyperlink ref="T26" r:id="rId8" xr:uid="{3B19C759-9F89-4FD0-9AF7-E59915BF6781}"/>
    <hyperlink ref="T5" r:id="rId9" xr:uid="{48A61EB2-3901-4F11-AF8A-267F0EAC8F83}"/>
    <hyperlink ref="T17" r:id="rId10" xr:uid="{2F4CFAA3-3AEC-47AA-B2DD-91842C083B47}"/>
    <hyperlink ref="T13" r:id="rId11" xr:uid="{696E3E4F-5FEE-4230-AABA-061327CD71FE}"/>
    <hyperlink ref="T15" r:id="rId12" xr:uid="{24398D88-2CF3-4504-82D8-4CDCD2EC1C4F}"/>
    <hyperlink ref="T18" r:id="rId13" xr:uid="{49F92448-4626-4CD1-A813-8541AB67C5B2}"/>
    <hyperlink ref="T16" r:id="rId14" xr:uid="{CBC2C69D-C2D2-4EA9-9D54-6E975A68F0E6}"/>
    <hyperlink ref="T24" r:id="rId15" xr:uid="{312D413F-FFD4-43EB-9C3D-473001E5C618}"/>
    <hyperlink ref="T8" r:id="rId16" xr:uid="{F56C1C5E-EC4A-4B85-8710-F1C8983E6D45}"/>
    <hyperlink ref="T9" r:id="rId17" xr:uid="{C0481BBA-FC8E-483C-8A19-DB31B1724A86}"/>
    <hyperlink ref="T2" r:id="rId18" xr:uid="{E9044968-4915-49C2-8170-9EF0CF521172}"/>
    <hyperlink ref="T4" r:id="rId19" xr:uid="{1C36A610-9F5A-4B41-8C68-B0FEA8264A1F}"/>
    <hyperlink ref="T27" r:id="rId20" xr:uid="{1DBF17F2-4703-4C22-AF54-8AEBCEA82AB3}"/>
    <hyperlink ref="T6" r:id="rId21" xr:uid="{C369FB53-5B95-4122-80B4-724B8F270008}"/>
    <hyperlink ref="T28" r:id="rId22" xr:uid="{78BD88CE-36D4-4420-ADB2-13DBCDF7DC8E}"/>
    <hyperlink ref="T11" r:id="rId23" xr:uid="{BC287954-6D3F-4216-A860-D57297CC829E}"/>
    <hyperlink ref="T19" r:id="rId24" xr:uid="{CF025F75-F1FC-45FF-A8B9-7455D417FA90}"/>
    <hyperlink ref="X11" r:id="rId25" xr:uid="{A00BB778-AFCE-4452-9700-B0507D293274}"/>
    <hyperlink ref="X6" r:id="rId26" xr:uid="{E44F3DA1-1EFA-494C-9559-E523E6AE0EA1}"/>
  </hyperlinks>
  <pageMargins left="0.7" right="0.7" top="0.75" bottom="0.75" header="0.3" footer="0.3"/>
  <tableParts count="1">
    <tablePart r:id="rId27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Shufan</dc:creator>
  <cp:keywords/>
  <dc:description/>
  <cp:lastModifiedBy/>
  <cp:revision/>
  <dcterms:created xsi:type="dcterms:W3CDTF">2026-01-29T05:23:06Z</dcterms:created>
  <dcterms:modified xsi:type="dcterms:W3CDTF">2026-05-14T07:26:38Z</dcterms:modified>
  <cp:category/>
  <cp:contentStatus/>
</cp:coreProperties>
</file>